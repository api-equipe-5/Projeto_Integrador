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b1426039f17548e/Documentos/FATEC_SJC/PROJETO INTEGRADOR/"/>
    </mc:Choice>
  </mc:AlternateContent>
  <xr:revisionPtr revIDLastSave="100" documentId="8_{C9FA9F7A-8ACA-4461-955D-978E7F28D6ED}" xr6:coauthVersionLast="45" xr6:coauthVersionMax="45" xr10:uidLastSave="{2347BDB1-7441-4373-B4E5-42CA0A315BAD}"/>
  <bookViews>
    <workbookView xWindow="-120" yWindow="-120" windowWidth="20730" windowHeight="11160" tabRatio="823" firstSheet="2" activeTab="10" xr2:uid="{FB536135-7172-460E-A82C-2C78D16A52C5}"/>
  </bookViews>
  <sheets>
    <sheet name="EQUIPE" sheetId="8" r:id="rId1"/>
    <sheet name="LISTAS" sheetId="13" r:id="rId2"/>
    <sheet name="PLANNING" sheetId="2" r:id="rId3"/>
    <sheet name="DAILY" sheetId="12" r:id="rId4"/>
    <sheet name="BACKLOG" sheetId="10" r:id="rId5"/>
    <sheet name="SPRINT 0" sheetId="5" r:id="rId6"/>
    <sheet name="SPRINT 1" sheetId="14" r:id="rId7"/>
    <sheet name="SPRINT 2" sheetId="15" r:id="rId8"/>
    <sheet name="SPRINT 3" sheetId="16" r:id="rId9"/>
    <sheet name="BURNDOWN 0" sheetId="6" r:id="rId10"/>
    <sheet name="BURNDOWN 1" sheetId="17" r:id="rId11"/>
    <sheet name="BURNDOWN 2" sheetId="18" r:id="rId12"/>
    <sheet name="BURNDOWN 3" sheetId="19" r:id="rId13"/>
    <sheet name="ROI" sheetId="20" r:id="rId14"/>
  </sheets>
  <definedNames>
    <definedName name="_xlnm._FilterDatabase" localSheetId="0" hidden="1">EQUIPE!$C$5:$C$12</definedName>
  </definedNames>
  <calcPr calcId="191029"/>
  <pivotCaches>
    <pivotCache cacheId="0" r:id="rId15"/>
    <pivotCache cacheId="1" r:id="rId16"/>
    <pivotCache cacheId="2" r:id="rId17"/>
    <pivotCache cacheId="3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7" l="1"/>
  <c r="E9" i="17" l="1"/>
  <c r="J12" i="20" l="1"/>
  <c r="J11" i="20"/>
  <c r="J10" i="20"/>
  <c r="J9" i="20"/>
  <c r="J8" i="20"/>
  <c r="J7" i="20"/>
  <c r="J6" i="20"/>
  <c r="E9" i="19" l="1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E9" i="18"/>
  <c r="G10" i="18"/>
  <c r="D9" i="19"/>
  <c r="F9" i="19" s="1"/>
  <c r="D6" i="19"/>
  <c r="D9" i="18"/>
  <c r="D6" i="18"/>
  <c r="D9" i="17"/>
  <c r="G18" i="6"/>
  <c r="G19" i="6"/>
  <c r="G20" i="6"/>
  <c r="G21" i="6"/>
  <c r="G22" i="6"/>
  <c r="G23" i="6"/>
  <c r="G24" i="6"/>
  <c r="G25" i="6"/>
  <c r="G26" i="6"/>
  <c r="G27" i="6"/>
  <c r="G28" i="6"/>
  <c r="E9" i="6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D18" i="6"/>
  <c r="D19" i="6"/>
  <c r="D20" i="6"/>
  <c r="D21" i="6"/>
  <c r="D22" i="6" s="1"/>
  <c r="D10" i="17" l="1"/>
  <c r="F10" i="17" s="1"/>
  <c r="F9" i="17"/>
  <c r="G9" i="17" s="1"/>
  <c r="G10" i="17" s="1"/>
  <c r="G9" i="6"/>
  <c r="G10" i="6" s="1"/>
  <c r="G11" i="6" s="1"/>
  <c r="G12" i="6" s="1"/>
  <c r="G13" i="6" s="1"/>
  <c r="G14" i="6" s="1"/>
  <c r="G15" i="6" s="1"/>
  <c r="G16" i="6" s="1"/>
  <c r="G17" i="6" s="1"/>
  <c r="G18" i="18"/>
  <c r="G26" i="18"/>
  <c r="G22" i="18"/>
  <c r="G14" i="18"/>
  <c r="G25" i="18"/>
  <c r="G21" i="18"/>
  <c r="G17" i="18"/>
  <c r="G13" i="18"/>
  <c r="G28" i="18"/>
  <c r="G24" i="18"/>
  <c r="G20" i="18"/>
  <c r="G16" i="18"/>
  <c r="G12" i="18"/>
  <c r="G27" i="18"/>
  <c r="G23" i="18"/>
  <c r="G19" i="18"/>
  <c r="G15" i="18"/>
  <c r="G11" i="18"/>
  <c r="E10" i="17"/>
  <c r="E11" i="17" s="1"/>
  <c r="E12" i="17" s="1"/>
  <c r="E13" i="17" s="1"/>
  <c r="E14" i="17" s="1"/>
  <c r="E15" i="17" s="1"/>
  <c r="E16" i="17" s="1"/>
  <c r="E17" i="17" s="1"/>
  <c r="E18" i="17" s="1"/>
  <c r="E19" i="17" s="1"/>
  <c r="E20" i="17" s="1"/>
  <c r="E21" i="17" s="1"/>
  <c r="E22" i="17" s="1"/>
  <c r="E23" i="17" s="1"/>
  <c r="E24" i="17" s="1"/>
  <c r="E25" i="17" s="1"/>
  <c r="E26" i="17" s="1"/>
  <c r="E27" i="17" s="1"/>
  <c r="G9" i="19"/>
  <c r="D10" i="19"/>
  <c r="F10" i="19" s="1"/>
  <c r="E10" i="19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G9" i="18"/>
  <c r="D10" i="18"/>
  <c r="E10" i="18"/>
  <c r="E11" i="18" s="1"/>
  <c r="E12" i="18" s="1"/>
  <c r="E13" i="18" s="1"/>
  <c r="E14" i="18" s="1"/>
  <c r="E15" i="18" s="1"/>
  <c r="E16" i="18" s="1"/>
  <c r="E17" i="18" s="1"/>
  <c r="E18" i="18" s="1"/>
  <c r="E19" i="18" s="1"/>
  <c r="E20" i="18" s="1"/>
  <c r="E21" i="18" s="1"/>
  <c r="E22" i="18" s="1"/>
  <c r="E23" i="18" s="1"/>
  <c r="E24" i="18" s="1"/>
  <c r="E25" i="18" s="1"/>
  <c r="E26" i="18" s="1"/>
  <c r="E27" i="18" s="1"/>
  <c r="E28" i="18" s="1"/>
  <c r="D11" i="17"/>
  <c r="F11" i="17" s="1"/>
  <c r="D23" i="6"/>
  <c r="D9" i="6"/>
  <c r="D6" i="6"/>
  <c r="D10" i="6"/>
  <c r="G10" i="19" l="1"/>
  <c r="G11" i="17"/>
  <c r="D11" i="19"/>
  <c r="D11" i="18"/>
  <c r="D12" i="17"/>
  <c r="F12" i="17" s="1"/>
  <c r="D24" i="6"/>
  <c r="D11" i="6"/>
  <c r="F11" i="19" l="1"/>
  <c r="G11" i="19"/>
  <c r="G12" i="17"/>
  <c r="D12" i="19"/>
  <c r="F12" i="19" s="1"/>
  <c r="D12" i="18"/>
  <c r="D13" i="17"/>
  <c r="F13" i="17" s="1"/>
  <c r="D25" i="6"/>
  <c r="D12" i="6"/>
  <c r="G12" i="19" l="1"/>
  <c r="G13" i="17"/>
  <c r="D13" i="19"/>
  <c r="F13" i="19" s="1"/>
  <c r="D13" i="18"/>
  <c r="D14" i="17"/>
  <c r="F14" i="17" s="1"/>
  <c r="D26" i="6"/>
  <c r="D13" i="6"/>
  <c r="G13" i="19" l="1"/>
  <c r="G14" i="17"/>
  <c r="D14" i="19"/>
  <c r="F14" i="19" s="1"/>
  <c r="D14" i="18"/>
  <c r="D15" i="17"/>
  <c r="F15" i="17" s="1"/>
  <c r="D27" i="6"/>
  <c r="D14" i="6"/>
  <c r="G14" i="19" l="1"/>
  <c r="G15" i="17"/>
  <c r="D15" i="19"/>
  <c r="F15" i="19" s="1"/>
  <c r="D15" i="18"/>
  <c r="D16" i="17"/>
  <c r="F16" i="17" s="1"/>
  <c r="D28" i="6"/>
  <c r="D15" i="6"/>
  <c r="G15" i="19" l="1"/>
  <c r="G16" i="17"/>
  <c r="D16" i="19"/>
  <c r="F16" i="19" s="1"/>
  <c r="D16" i="18"/>
  <c r="D17" i="17"/>
  <c r="F17" i="17" s="1"/>
  <c r="D16" i="6"/>
  <c r="G16" i="19" l="1"/>
  <c r="G17" i="17"/>
  <c r="D17" i="19"/>
  <c r="F17" i="19" s="1"/>
  <c r="D17" i="18"/>
  <c r="D18" i="17"/>
  <c r="F18" i="17" s="1"/>
  <c r="D17" i="6"/>
  <c r="G17" i="19" l="1"/>
  <c r="G18" i="17"/>
  <c r="D18" i="19"/>
  <c r="F18" i="19" s="1"/>
  <c r="D18" i="18"/>
  <c r="D19" i="17"/>
  <c r="F19" i="17" s="1"/>
  <c r="J6" i="2"/>
  <c r="J7" i="2"/>
  <c r="J8" i="2"/>
  <c r="J9" i="2"/>
  <c r="J10" i="2"/>
  <c r="J11" i="2"/>
  <c r="J12" i="2"/>
  <c r="G18" i="19" l="1"/>
  <c r="G19" i="17"/>
  <c r="D19" i="19"/>
  <c r="F19" i="19" s="1"/>
  <c r="D19" i="18"/>
  <c r="D20" i="17"/>
  <c r="F20" i="17" s="1"/>
  <c r="G19" i="19" l="1"/>
  <c r="G20" i="17"/>
  <c r="D20" i="19"/>
  <c r="F20" i="19" s="1"/>
  <c r="D20" i="18"/>
  <c r="D21" i="17"/>
  <c r="F21" i="17" s="1"/>
  <c r="G20" i="19" l="1"/>
  <c r="G21" i="17"/>
  <c r="D21" i="19"/>
  <c r="F21" i="19" s="1"/>
  <c r="D21" i="18"/>
  <c r="D22" i="17"/>
  <c r="F22" i="17" s="1"/>
  <c r="G21" i="19" l="1"/>
  <c r="G22" i="17"/>
  <c r="D22" i="19"/>
  <c r="F22" i="19" s="1"/>
  <c r="D22" i="18"/>
  <c r="D23" i="17"/>
  <c r="F23" i="17" s="1"/>
  <c r="G22" i="19" l="1"/>
  <c r="G23" i="17"/>
  <c r="D23" i="19"/>
  <c r="F23" i="19" s="1"/>
  <c r="D23" i="18"/>
  <c r="D24" i="17"/>
  <c r="F24" i="17" s="1"/>
  <c r="G23" i="19" l="1"/>
  <c r="G24" i="17"/>
  <c r="D24" i="19"/>
  <c r="F24" i="19" s="1"/>
  <c r="D24" i="18"/>
  <c r="D25" i="17"/>
  <c r="F25" i="17" s="1"/>
  <c r="G24" i="19" l="1"/>
  <c r="G25" i="17"/>
  <c r="D25" i="19"/>
  <c r="F25" i="19" s="1"/>
  <c r="D25" i="18"/>
  <c r="D26" i="17"/>
  <c r="F26" i="17" s="1"/>
  <c r="G25" i="19" l="1"/>
  <c r="G26" i="17"/>
  <c r="D26" i="19"/>
  <c r="F26" i="19" s="1"/>
  <c r="D26" i="18"/>
  <c r="D27" i="17"/>
  <c r="F27" i="17" s="1"/>
  <c r="G26" i="19" l="1"/>
  <c r="G27" i="17"/>
  <c r="D27" i="19"/>
  <c r="F27" i="19" s="1"/>
  <c r="D27" i="18"/>
  <c r="G27" i="19" l="1"/>
  <c r="D28" i="19"/>
  <c r="F28" i="19" s="1"/>
  <c r="D28" i="18"/>
  <c r="G28" i="19" l="1"/>
</calcChain>
</file>

<file path=xl/sharedStrings.xml><?xml version="1.0" encoding="utf-8"?>
<sst xmlns="http://schemas.openxmlformats.org/spreadsheetml/2006/main" count="338" uniqueCount="130">
  <si>
    <t>Sprint 0</t>
  </si>
  <si>
    <t>Descrição</t>
  </si>
  <si>
    <t>Responsável</t>
  </si>
  <si>
    <t>Status</t>
  </si>
  <si>
    <t>Prioridade</t>
  </si>
  <si>
    <t>Concluído</t>
  </si>
  <si>
    <t>Interrompido</t>
  </si>
  <si>
    <t>Cancelado</t>
  </si>
  <si>
    <t>Daniela Meirelles</t>
  </si>
  <si>
    <t>Guilherme Leite</t>
  </si>
  <si>
    <t>Leonardo Ribeiro</t>
  </si>
  <si>
    <t>Letícia Salles</t>
  </si>
  <si>
    <t>Matheus Emboaba</t>
  </si>
  <si>
    <t>Patrícia Ciliato</t>
  </si>
  <si>
    <t>Tarefa</t>
  </si>
  <si>
    <t>Evento</t>
  </si>
  <si>
    <t>Sprint 1</t>
  </si>
  <si>
    <t>Sprint 2</t>
  </si>
  <si>
    <t>Sprint 3</t>
  </si>
  <si>
    <t>Apresentação Final</t>
  </si>
  <si>
    <t>Avaliação de Soft Skills</t>
  </si>
  <si>
    <t>Feira de Soluçoes</t>
  </si>
  <si>
    <t>Valor</t>
  </si>
  <si>
    <t>Avaliado</t>
  </si>
  <si>
    <t>Data Início</t>
  </si>
  <si>
    <t>Real (h)</t>
  </si>
  <si>
    <t>Data Entrega</t>
  </si>
  <si>
    <t>Dia</t>
  </si>
  <si>
    <t>Datas</t>
  </si>
  <si>
    <t>Ideal (h)</t>
  </si>
  <si>
    <t>Trabalhado (h)</t>
  </si>
  <si>
    <t>Thiago Silva</t>
  </si>
  <si>
    <t xml:space="preserve">Nome </t>
  </si>
  <si>
    <t>Email</t>
  </si>
  <si>
    <t>Git</t>
  </si>
  <si>
    <t>Telefone</t>
  </si>
  <si>
    <t>Cargo</t>
  </si>
  <si>
    <t>Scrum Master</t>
  </si>
  <si>
    <t>Product Owner</t>
  </si>
  <si>
    <t>Scrum Team</t>
  </si>
  <si>
    <t>Funcionalidade</t>
  </si>
  <si>
    <t>O que fez ontem?</t>
  </si>
  <si>
    <t>O que vai fazer hoje?</t>
  </si>
  <si>
    <t>Tem algum impedimento?</t>
  </si>
  <si>
    <t>Objetivo</t>
  </si>
  <si>
    <t>daniela.meirelles@fatec.sp.gov.br</t>
  </si>
  <si>
    <t>thiago.silva403@fatec.sp.gov.br</t>
  </si>
  <si>
    <t>patricia.ciliato@fatec.sp.gov.br</t>
  </si>
  <si>
    <t>matheus.souza130@fatec.sp.gov.br</t>
  </si>
  <si>
    <t>guilherme.silva255@fatec.sp.gov.br</t>
  </si>
  <si>
    <t>leticia.costa12@fatec.sp.gov.br</t>
  </si>
  <si>
    <t>leonardo.ribeiro11@fatec.sp.gov.br</t>
  </si>
  <si>
    <t>https://github.com/Leo0256</t>
  </si>
  <si>
    <t>https://github.com/leticiasalles</t>
  </si>
  <si>
    <t>https://github.com/Glsilva</t>
  </si>
  <si>
    <t>https://github.com/DanielaMeirelles</t>
  </si>
  <si>
    <t>https://github.com/MatheusEmboabaTeteu</t>
  </si>
  <si>
    <t>https://github.com/Ppistache</t>
  </si>
  <si>
    <t>https://github.com/tsilvaBR</t>
  </si>
  <si>
    <t>(12) 98139-1739</t>
  </si>
  <si>
    <r>
      <rPr>
        <b/>
        <sz val="16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2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</si>
  <si>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Cargos</t>
  </si>
  <si>
    <r>
      <rPr>
        <b/>
        <sz val="16"/>
        <color theme="1"/>
        <rFont val="Arial"/>
        <family val="2"/>
      </rPr>
      <t>Daily Scrum:</t>
    </r>
    <r>
      <rPr>
        <sz val="11"/>
        <color theme="1"/>
        <rFont val="Arial"/>
        <family val="2"/>
      </rPr>
      <t xml:space="preserve"> </t>
    </r>
    <r>
      <rPr>
        <i/>
        <sz val="12"/>
        <color theme="1"/>
        <rFont val="Arial"/>
        <family val="2"/>
      </rPr>
      <t>Reuniões diárias de 15 minutos, dentro das informoções que são abordadas nas reunições diárias, responder as 3 Perguntas Básicas...</t>
    </r>
  </si>
  <si>
    <t>Data de Registro</t>
  </si>
  <si>
    <t>Colaborador (a)</t>
  </si>
  <si>
    <t>1 - Alta</t>
  </si>
  <si>
    <t>3 - Baixa</t>
  </si>
  <si>
    <r>
      <rPr>
        <b/>
        <sz val="16"/>
        <color theme="1"/>
        <rFont val="Arial"/>
        <family val="2"/>
      </rPr>
      <t>Backlog:</t>
    </r>
    <r>
      <rPr>
        <sz val="11"/>
        <color theme="1"/>
        <rFont val="Arial"/>
        <family val="2"/>
      </rPr>
      <t xml:space="preserve"> </t>
    </r>
    <r>
      <rPr>
        <i/>
        <sz val="12"/>
        <color theme="1"/>
        <rFont val="Arial"/>
        <family val="2"/>
      </rPr>
      <t>Definido no Daily Scrum, podendo ocorrer alterações; por orientação do cliente ou planejamento da equipe.</t>
    </r>
  </si>
  <si>
    <t>Iniciado</t>
  </si>
  <si>
    <t>Em andamento</t>
  </si>
  <si>
    <t>Tempo Estimável (h)</t>
  </si>
  <si>
    <t>Formas de pagamento</t>
  </si>
  <si>
    <t>Funções do Carrinho de Compras</t>
  </si>
  <si>
    <t>Conteúdo (Língua Portuguesa PDF- Teoria)</t>
  </si>
  <si>
    <t xml:space="preserve">Conteúdo (Inglês PDF- Teoria) </t>
  </si>
  <si>
    <t>Implantação do banco de dados</t>
  </si>
  <si>
    <t>Layout Página inicial</t>
  </si>
  <si>
    <t>Layout do carrinho de compras</t>
  </si>
  <si>
    <t>Layout Login</t>
  </si>
  <si>
    <t>Layout do conteúdo</t>
  </si>
  <si>
    <t>Conteúdo (Inglês PDF- Exercícios)</t>
  </si>
  <si>
    <t>Conteúdo (Língua Portuguesa PDF- Concordância)</t>
  </si>
  <si>
    <t>Conteúdo (Matemática Discreta- Grafos e Lógica)</t>
  </si>
  <si>
    <t>Conteúdo (Língua Portuguesa- Vídeos de concordância e pontuação)</t>
  </si>
  <si>
    <t>Conteúdo (Laboratório de Hardware- Introdução ao Computador)</t>
  </si>
  <si>
    <t>Implementação do banco de dados</t>
  </si>
  <si>
    <t xml:space="preserve">Hospedagem e domínio </t>
  </si>
  <si>
    <t xml:space="preserve">Testes </t>
  </si>
  <si>
    <t>Layout da empresa (Missão, Visão e Valores)</t>
  </si>
  <si>
    <t>Layout do contato</t>
  </si>
  <si>
    <t>Conteúdo (Laboratório de Hardware- Componentes do computador)</t>
  </si>
  <si>
    <t>Conteúdo (Arquitetura e Organização de Computadores- História)</t>
  </si>
  <si>
    <t>Conteúdo (Arquitetura e Organização de Computadores- CPU)</t>
  </si>
  <si>
    <t>Conteúdo (Lógica de Programação- Introdução- O que é lógica de programação?)</t>
  </si>
  <si>
    <t>Conteúdo (Lógica de Programação- O que é um algoritmo?)</t>
  </si>
  <si>
    <t>2 - Média</t>
  </si>
  <si>
    <t>Pesquisa de Mercado</t>
  </si>
  <si>
    <t>Método Scrum no Excel</t>
  </si>
  <si>
    <t>Data Planning</t>
  </si>
  <si>
    <t>Duração Estimado (d)</t>
  </si>
  <si>
    <t>Continuação da planila de método Scrum</t>
  </si>
  <si>
    <t>Planilha de método Scrum, e BurnDown, layout do excel.</t>
  </si>
  <si>
    <t>Até o momento não.</t>
  </si>
  <si>
    <r>
      <rPr>
        <b/>
        <sz val="16"/>
        <color theme="1"/>
        <rFont val="Arial"/>
        <family val="2"/>
      </rPr>
      <t>BurnDown Chart:</t>
    </r>
    <r>
      <rPr>
        <sz val="11"/>
        <color theme="1"/>
        <rFont val="Arial"/>
        <family val="2"/>
      </rPr>
      <t xml:space="preserve"> </t>
    </r>
    <r>
      <rPr>
        <i/>
        <sz val="12"/>
        <color theme="1"/>
        <rFont val="Arial"/>
        <family val="2"/>
      </rPr>
      <t>Há necessidade de verificar a produtividade diária dos colaboradores e em cada Sprint.</t>
    </r>
  </si>
  <si>
    <t>Data Inicio</t>
  </si>
  <si>
    <t>Data Término</t>
  </si>
  <si>
    <t>Duração (d)</t>
  </si>
  <si>
    <t>Data Atual</t>
  </si>
  <si>
    <t>Repositório</t>
  </si>
  <si>
    <t>(vazio)</t>
  </si>
  <si>
    <t>Relatórios de Sprint</t>
  </si>
  <si>
    <t>Contagem de Funcionalidade</t>
  </si>
  <si>
    <t>Funções em PHP para a interação, armazenamento e realocação dos itens do carrinho de compras.</t>
  </si>
  <si>
    <t>ROI</t>
  </si>
  <si>
    <t>Pesquisa e criação do ROI</t>
  </si>
  <si>
    <t>Elaboração da Planinha Método Scrum, definido no Sprint Planning (sprint 1).</t>
  </si>
  <si>
    <t>Linha do Tempo</t>
  </si>
  <si>
    <t>Plano de Negócio</t>
  </si>
  <si>
    <t>(12) 99143-7543</t>
  </si>
  <si>
    <t>(12) 98820-6735</t>
  </si>
  <si>
    <t>(12) 99657-8993</t>
  </si>
  <si>
    <t>(12) 98281-1808</t>
  </si>
  <si>
    <t>(12) 98823-9539</t>
  </si>
  <si>
    <t>(12) 99731-1701</t>
  </si>
  <si>
    <t xml:space="preserve"> Lingua Portuguesa - Pontuação</t>
  </si>
  <si>
    <t xml:space="preserve">Inglês - Verb To be - plurals </t>
  </si>
  <si>
    <t>Conversão conteúdo Inglês em Jpeg</t>
  </si>
  <si>
    <t>Atas de reuniões do Time Lider - 30 min/dia</t>
  </si>
  <si>
    <t>Formas de pagamento - fluxograma</t>
  </si>
  <si>
    <t>Formas de pagamento - conexão com o PayPal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</si>
</sst>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/&quot;mm&quot;/&quot;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22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Arial"/>
      <family val="2"/>
    </font>
    <font>
      <i/>
      <sz val="12"/>
      <color theme="1"/>
      <name val="Arial"/>
      <family val="2"/>
    </font>
    <font>
      <b/>
      <sz val="16"/>
      <color theme="2" tint="-0.499984740745262"/>
      <name val="Arial"/>
      <family val="2"/>
    </font>
    <font>
      <sz val="11"/>
      <name val="Arial"/>
      <family val="2"/>
    </font>
    <font>
      <b/>
      <sz val="12"/>
      <color theme="2" tint="-0.499984740745262"/>
      <name val="Arial"/>
      <family val="2"/>
    </font>
    <font>
      <sz val="9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theme="2" tint="-0.74999237037263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2" fillId="0" borderId="0" xfId="0" applyFont="1" applyAlignment="1"/>
    <xf numFmtId="14" fontId="1" fillId="0" borderId="0" xfId="0" applyNumberFormat="1" applyFont="1"/>
    <xf numFmtId="14" fontId="3" fillId="0" borderId="0" xfId="0" applyNumberFormat="1" applyFon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/>
    <xf numFmtId="0" fontId="1" fillId="2" borderId="0" xfId="0" applyFont="1" applyFill="1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center" wrapText="1"/>
    </xf>
    <xf numFmtId="0" fontId="1" fillId="4" borderId="0" xfId="0" applyFont="1" applyFill="1"/>
    <xf numFmtId="0" fontId="0" fillId="0" borderId="0" xfId="0" applyFont="1"/>
    <xf numFmtId="0" fontId="8" fillId="5" borderId="0" xfId="0" applyFont="1" applyFill="1"/>
    <xf numFmtId="0" fontId="8" fillId="2" borderId="0" xfId="0" applyFont="1" applyFill="1"/>
    <xf numFmtId="0" fontId="8" fillId="0" borderId="0" xfId="0" applyFont="1"/>
    <xf numFmtId="0" fontId="8" fillId="0" borderId="0" xfId="0" applyFont="1" applyAlignment="1">
      <alignment horizontal="left"/>
    </xf>
    <xf numFmtId="0" fontId="7" fillId="6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8" fillId="0" borderId="4" xfId="1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7" fillId="6" borderId="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14" fontId="6" fillId="0" borderId="0" xfId="0" applyNumberFormat="1" applyFont="1" applyAlignment="1">
      <alignment horizontal="right" vertical="center"/>
    </xf>
    <xf numFmtId="0" fontId="13" fillId="7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left" vertical="center"/>
    </xf>
    <xf numFmtId="164" fontId="1" fillId="0" borderId="0" xfId="0" applyNumberFormat="1" applyFont="1" applyAlignment="1">
      <alignment vertical="center"/>
    </xf>
    <xf numFmtId="1" fontId="8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" fillId="4" borderId="0" xfId="0" applyFont="1" applyFill="1" applyAlignment="1">
      <alignment horizontal="left" vertical="center"/>
    </xf>
    <xf numFmtId="0" fontId="1" fillId="0" borderId="0" xfId="0" applyFont="1" applyAlignment="1">
      <alignment horizontal="center" wrapText="1"/>
    </xf>
  </cellXfs>
  <cellStyles count="2">
    <cellStyle name="Hiperlink" xfId="1" builtinId="8"/>
    <cellStyle name="Normal" xfId="0" builtinId="0"/>
  </cellStyles>
  <dxfs count="100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 tint="-0.2499465926084170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/>
        <color rgb="FF7030A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dd&quot;/&quot;mm&quot;/&quot;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Arial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dd&quot;/&quot;mm&quot;/&quot;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Arial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dd&quot;/&quot;mm&quot;/&quot;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Arial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dd&quot;/&quot;mm&quot;/&quot;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Arial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1"/>
          <c:order val="0"/>
          <c:tx>
            <c:strRef>
              <c:f>'BURNDOWN 0'!$E$8</c:f>
              <c:strCache>
                <c:ptCount val="1"/>
                <c:pt idx="0">
                  <c:v>Ideal (h)</c:v>
                </c:pt>
              </c:strCache>
            </c:strRef>
          </c:tx>
          <c:marker>
            <c:symbol val="none"/>
          </c:marker>
          <c:cat>
            <c:numRef>
              <c:f>'BURNDOWN 0'!$C$10:$C$28</c:f>
              <c:numCache>
                <c:formatCode>General</c:formatCode>
                <c:ptCount val="1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</c:numCache>
            </c:numRef>
          </c:cat>
          <c:val>
            <c:numRef>
              <c:f>'BURNDOWN 0'!$E$9:$E$28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8-4AA2-B567-017033462435}"/>
            </c:ext>
          </c:extLst>
        </c:ser>
        <c:ser>
          <c:idx val="0"/>
          <c:order val="1"/>
          <c:tx>
            <c:strRef>
              <c:f>'BURNDOWN 0'!$G$8</c:f>
              <c:strCache>
                <c:ptCount val="1"/>
                <c:pt idx="0">
                  <c:v>Real (h)</c:v>
                </c:pt>
              </c:strCache>
            </c:strRef>
          </c:tx>
          <c:marker>
            <c:symbol val="none"/>
          </c:marker>
          <c:cat>
            <c:numRef>
              <c:f>'BURNDOWN 0'!$C$10:$C$28</c:f>
              <c:numCache>
                <c:formatCode>General</c:formatCode>
                <c:ptCount val="1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</c:numCache>
            </c:numRef>
          </c:cat>
          <c:val>
            <c:numRef>
              <c:f>'BURNDOWN 0'!$G$9:$G$28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8-4AA2-B567-017033462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493956"/>
        <c:axId val="2122111757"/>
      </c:lineChart>
      <c:catAx>
        <c:axId val="3554939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Dia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122111757"/>
        <c:crosses val="autoZero"/>
        <c:auto val="1"/>
        <c:lblAlgn val="ctr"/>
        <c:lblOffset val="100"/>
        <c:noMultiLvlLbl val="1"/>
      </c:catAx>
      <c:valAx>
        <c:axId val="21221117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Horas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549395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ysClr val="window" lastClr="FFFFFF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1"/>
          <c:order val="0"/>
          <c:tx>
            <c:strRef>
              <c:f>'BURNDOWN 1'!$E$8</c:f>
              <c:strCache>
                <c:ptCount val="1"/>
                <c:pt idx="0">
                  <c:v>Ideal (h)</c:v>
                </c:pt>
              </c:strCache>
            </c:strRef>
          </c:tx>
          <c:marker>
            <c:symbol val="none"/>
          </c:marker>
          <c:cat>
            <c:numRef>
              <c:f>'BURNDOWN 1'!$C$10:$C$27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</c:numCache>
            </c:numRef>
          </c:cat>
          <c:val>
            <c:numRef>
              <c:f>'BURNDOWN 1'!$E$9:$E$27</c:f>
              <c:numCache>
                <c:formatCode>0</c:formatCode>
                <c:ptCount val="19"/>
                <c:pt idx="0">
                  <c:v>65</c:v>
                </c:pt>
                <c:pt idx="1">
                  <c:v>61.388888888888886</c:v>
                </c:pt>
                <c:pt idx="2">
                  <c:v>57.777777777777771</c:v>
                </c:pt>
                <c:pt idx="3">
                  <c:v>54.166666666666657</c:v>
                </c:pt>
                <c:pt idx="4">
                  <c:v>50.555555555555543</c:v>
                </c:pt>
                <c:pt idx="5">
                  <c:v>46.944444444444429</c:v>
                </c:pt>
                <c:pt idx="6">
                  <c:v>43.333333333333314</c:v>
                </c:pt>
                <c:pt idx="7">
                  <c:v>39.7222222222222</c:v>
                </c:pt>
                <c:pt idx="8">
                  <c:v>36.111111111111086</c:v>
                </c:pt>
                <c:pt idx="9">
                  <c:v>32.499999999999972</c:v>
                </c:pt>
                <c:pt idx="10">
                  <c:v>28.888888888888861</c:v>
                </c:pt>
                <c:pt idx="11">
                  <c:v>25.27777777777775</c:v>
                </c:pt>
                <c:pt idx="12">
                  <c:v>21.666666666666639</c:v>
                </c:pt>
                <c:pt idx="13">
                  <c:v>18.055555555555529</c:v>
                </c:pt>
                <c:pt idx="14">
                  <c:v>14.444444444444418</c:v>
                </c:pt>
                <c:pt idx="15">
                  <c:v>10.833333333333307</c:v>
                </c:pt>
                <c:pt idx="16">
                  <c:v>7.2222222222221966</c:v>
                </c:pt>
                <c:pt idx="17">
                  <c:v>3.6111111111110854</c:v>
                </c:pt>
                <c:pt idx="18">
                  <c:v>-2.5757174171303632E-14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64-41F8-B5C4-7ABC70897582}"/>
            </c:ext>
          </c:extLst>
        </c:ser>
        <c:ser>
          <c:idx val="0"/>
          <c:order val="1"/>
          <c:tx>
            <c:strRef>
              <c:f>'BURNDOWN 1'!$G$8</c:f>
              <c:strCache>
                <c:ptCount val="1"/>
                <c:pt idx="0">
                  <c:v>Real (h)</c:v>
                </c:pt>
              </c:strCache>
            </c:strRef>
          </c:tx>
          <c:marker>
            <c:symbol val="none"/>
          </c:marker>
          <c:cat>
            <c:numRef>
              <c:f>'BURNDOWN 1'!$C$10:$C$27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</c:numCache>
            </c:numRef>
          </c:cat>
          <c:val>
            <c:numRef>
              <c:f>'BURNDOWN 1'!$G$9:$G$27</c:f>
              <c:numCache>
                <c:formatCode>0</c:formatCode>
                <c:ptCount val="19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59</c:v>
                </c:pt>
                <c:pt idx="16">
                  <c:v>54</c:v>
                </c:pt>
                <c:pt idx="17">
                  <c:v>48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64-41F8-B5C4-7ABC70897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493956"/>
        <c:axId val="2122111757"/>
      </c:lineChart>
      <c:catAx>
        <c:axId val="3554939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Dia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122111757"/>
        <c:crosses val="autoZero"/>
        <c:auto val="1"/>
        <c:lblAlgn val="ctr"/>
        <c:lblOffset val="100"/>
        <c:noMultiLvlLbl val="1"/>
      </c:catAx>
      <c:valAx>
        <c:axId val="21221117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Horas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549395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ysClr val="window" lastClr="FFFFFF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1"/>
          <c:order val="0"/>
          <c:tx>
            <c:strRef>
              <c:f>'BURNDOWN 2'!$E$8</c:f>
              <c:strCache>
                <c:ptCount val="1"/>
                <c:pt idx="0">
                  <c:v>Ideal (h)</c:v>
                </c:pt>
              </c:strCache>
            </c:strRef>
          </c:tx>
          <c:marker>
            <c:symbol val="none"/>
          </c:marker>
          <c:cat>
            <c:numRef>
              <c:f>'BURNDOWN 2'!$C$10:$C$28</c:f>
              <c:numCache>
                <c:formatCode>General</c:formatCode>
                <c:ptCount val="1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</c:numCache>
            </c:numRef>
          </c:cat>
          <c:val>
            <c:numRef>
              <c:f>'BURNDOWN 2'!$E$9:$E$28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D-49F4-A8C6-1EF57173F59D}"/>
            </c:ext>
          </c:extLst>
        </c:ser>
        <c:ser>
          <c:idx val="0"/>
          <c:order val="1"/>
          <c:tx>
            <c:strRef>
              <c:f>'BURNDOWN 2'!$G$8</c:f>
              <c:strCache>
                <c:ptCount val="1"/>
                <c:pt idx="0">
                  <c:v>Real (h)</c:v>
                </c:pt>
              </c:strCache>
            </c:strRef>
          </c:tx>
          <c:marker>
            <c:symbol val="none"/>
          </c:marker>
          <c:cat>
            <c:numRef>
              <c:f>'BURNDOWN 2'!$C$10:$C$28</c:f>
              <c:numCache>
                <c:formatCode>General</c:formatCode>
                <c:ptCount val="1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</c:numCache>
            </c:numRef>
          </c:cat>
          <c:val>
            <c:numRef>
              <c:f>'BURNDOWN 2'!$G$9:$G$28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D-49F4-A8C6-1EF57173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493956"/>
        <c:axId val="2122111757"/>
      </c:lineChart>
      <c:catAx>
        <c:axId val="3554939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Dia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122111757"/>
        <c:crosses val="autoZero"/>
        <c:auto val="1"/>
        <c:lblAlgn val="ctr"/>
        <c:lblOffset val="100"/>
        <c:noMultiLvlLbl val="1"/>
      </c:catAx>
      <c:valAx>
        <c:axId val="21221117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Horas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549395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ysClr val="window" lastClr="FFFFFF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1"/>
          <c:order val="0"/>
          <c:tx>
            <c:strRef>
              <c:f>'BURNDOWN 3'!$E$8</c:f>
              <c:strCache>
                <c:ptCount val="1"/>
                <c:pt idx="0">
                  <c:v>Ideal (h)</c:v>
                </c:pt>
              </c:strCache>
            </c:strRef>
          </c:tx>
          <c:marker>
            <c:symbol val="none"/>
          </c:marker>
          <c:cat>
            <c:numRef>
              <c:f>'BURNDOWN 3'!$C$10:$C$28</c:f>
              <c:numCache>
                <c:formatCode>General</c:formatCode>
                <c:ptCount val="1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</c:numCache>
            </c:numRef>
          </c:cat>
          <c:val>
            <c:numRef>
              <c:f>'BURNDOWN 3'!$E$9:$E$28</c:f>
              <c:numCache>
                <c:formatCode>0</c:formatCode>
                <c:ptCount val="20"/>
                <c:pt idx="0">
                  <c:v>80</c:v>
                </c:pt>
                <c:pt idx="1">
                  <c:v>75.78947368421052</c:v>
                </c:pt>
                <c:pt idx="2">
                  <c:v>71.578947368421041</c:v>
                </c:pt>
                <c:pt idx="3">
                  <c:v>67.368421052631561</c:v>
                </c:pt>
                <c:pt idx="4">
                  <c:v>63.157894736842088</c:v>
                </c:pt>
                <c:pt idx="5">
                  <c:v>58.947368421052616</c:v>
                </c:pt>
                <c:pt idx="6">
                  <c:v>54.736842105263143</c:v>
                </c:pt>
                <c:pt idx="7">
                  <c:v>50.526315789473671</c:v>
                </c:pt>
                <c:pt idx="8">
                  <c:v>46.315789473684198</c:v>
                </c:pt>
                <c:pt idx="9">
                  <c:v>42.105263157894726</c:v>
                </c:pt>
                <c:pt idx="10">
                  <c:v>37.894736842105253</c:v>
                </c:pt>
                <c:pt idx="11">
                  <c:v>33.68421052631578</c:v>
                </c:pt>
                <c:pt idx="12">
                  <c:v>29.473684210526308</c:v>
                </c:pt>
                <c:pt idx="13">
                  <c:v>25.263157894736835</c:v>
                </c:pt>
                <c:pt idx="14">
                  <c:v>21.052631578947363</c:v>
                </c:pt>
                <c:pt idx="15">
                  <c:v>16.84210526315789</c:v>
                </c:pt>
                <c:pt idx="16">
                  <c:v>12.631578947368418</c:v>
                </c:pt>
                <c:pt idx="17">
                  <c:v>8.4210526315789451</c:v>
                </c:pt>
                <c:pt idx="18">
                  <c:v>4.2105263157894717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32-47E1-85A7-2A3E88550ACC}"/>
            </c:ext>
          </c:extLst>
        </c:ser>
        <c:ser>
          <c:idx val="0"/>
          <c:order val="1"/>
          <c:tx>
            <c:strRef>
              <c:f>'BURNDOWN 3'!$G$8</c:f>
              <c:strCache>
                <c:ptCount val="1"/>
                <c:pt idx="0">
                  <c:v>Real (h)</c:v>
                </c:pt>
              </c:strCache>
            </c:strRef>
          </c:tx>
          <c:marker>
            <c:symbol val="none"/>
          </c:marker>
          <c:cat>
            <c:numRef>
              <c:f>'BURNDOWN 3'!$C$10:$C$28</c:f>
              <c:numCache>
                <c:formatCode>General</c:formatCode>
                <c:ptCount val="1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</c:numCache>
            </c:numRef>
          </c:cat>
          <c:val>
            <c:numRef>
              <c:f>'BURNDOWN 3'!$G$9:$G$28</c:f>
              <c:numCache>
                <c:formatCode>0</c:formatCode>
                <c:ptCount val="20"/>
                <c:pt idx="0">
                  <c:v>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32-47E1-85A7-2A3E88550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493956"/>
        <c:axId val="2122111757"/>
      </c:lineChart>
      <c:catAx>
        <c:axId val="3554939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Dia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122111757"/>
        <c:crosses val="autoZero"/>
        <c:auto val="1"/>
        <c:lblAlgn val="ctr"/>
        <c:lblOffset val="100"/>
        <c:noMultiLvlLbl val="1"/>
      </c:catAx>
      <c:valAx>
        <c:axId val="21221117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Horas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549395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ysClr val="window" lastClr="FFFFFF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LANNING!A1"/><Relationship Id="rId2" Type="http://schemas.openxmlformats.org/officeDocument/2006/relationships/hyperlink" Target="#LISTAS!A1"/><Relationship Id="rId1" Type="http://schemas.openxmlformats.org/officeDocument/2006/relationships/hyperlink" Target="#EQUIPE!A1"/><Relationship Id="rId5" Type="http://schemas.openxmlformats.org/officeDocument/2006/relationships/hyperlink" Target="#'BURNDOWN 0'!A1"/><Relationship Id="rId4" Type="http://schemas.openxmlformats.org/officeDocument/2006/relationships/hyperlink" Target="#'SPRINT 0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LANNING!A1"/><Relationship Id="rId2" Type="http://schemas.openxmlformats.org/officeDocument/2006/relationships/hyperlink" Target="#LISTAS!A1"/><Relationship Id="rId1" Type="http://schemas.openxmlformats.org/officeDocument/2006/relationships/hyperlink" Target="#EQUIPE!A1"/><Relationship Id="rId5" Type="http://schemas.openxmlformats.org/officeDocument/2006/relationships/hyperlink" Target="#'BURNDOWN 0'!A1"/><Relationship Id="rId4" Type="http://schemas.openxmlformats.org/officeDocument/2006/relationships/hyperlink" Target="#'SPRINT 0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BACKLOG!A1"/><Relationship Id="rId5" Type="http://schemas.openxmlformats.org/officeDocument/2006/relationships/hyperlink" Target="#DAILY!A1"/><Relationship Id="rId4" Type="http://schemas.openxmlformats.org/officeDocument/2006/relationships/hyperlink" Target="#'BURNDOWN 0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5" Type="http://schemas.openxmlformats.org/officeDocument/2006/relationships/hyperlink" Target="#BACKLOG!A1"/><Relationship Id="rId4" Type="http://schemas.openxmlformats.org/officeDocument/2006/relationships/hyperlink" Target="#'BURNDOWN 0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BACKLOG!A1"/><Relationship Id="rId5" Type="http://schemas.openxmlformats.org/officeDocument/2006/relationships/hyperlink" Target="#DAILY!A1"/><Relationship Id="rId4" Type="http://schemas.openxmlformats.org/officeDocument/2006/relationships/hyperlink" Target="#'BURNDOWN 0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7" Type="http://schemas.openxmlformats.org/officeDocument/2006/relationships/hyperlink" Target="#'SPRINT 3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SPRINT 2'!A1"/><Relationship Id="rId5" Type="http://schemas.openxmlformats.org/officeDocument/2006/relationships/hyperlink" Target="#'SPRINT 1'!A1"/><Relationship Id="rId4" Type="http://schemas.openxmlformats.org/officeDocument/2006/relationships/hyperlink" Target="#'BURNDOWN 0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7" Type="http://schemas.openxmlformats.org/officeDocument/2006/relationships/hyperlink" Target="#'SPRINT 3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SPRINT 2'!A1"/><Relationship Id="rId5" Type="http://schemas.openxmlformats.org/officeDocument/2006/relationships/hyperlink" Target="#'SPRINT 1'!A1"/><Relationship Id="rId4" Type="http://schemas.openxmlformats.org/officeDocument/2006/relationships/hyperlink" Target="#'BURNDOWN 0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7" Type="http://schemas.openxmlformats.org/officeDocument/2006/relationships/hyperlink" Target="#'SPRINT 3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SPRINT 2'!A1"/><Relationship Id="rId5" Type="http://schemas.openxmlformats.org/officeDocument/2006/relationships/hyperlink" Target="#'SPRINT 1'!A1"/><Relationship Id="rId4" Type="http://schemas.openxmlformats.org/officeDocument/2006/relationships/hyperlink" Target="#'BURNDOWN 0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7" Type="http://schemas.openxmlformats.org/officeDocument/2006/relationships/hyperlink" Target="#'SPRINT 3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SPRINT 2'!A1"/><Relationship Id="rId5" Type="http://schemas.openxmlformats.org/officeDocument/2006/relationships/hyperlink" Target="#'SPRINT 1'!A1"/><Relationship Id="rId4" Type="http://schemas.openxmlformats.org/officeDocument/2006/relationships/hyperlink" Target="#'BURNDOWN 0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'SPRINT 0'!A1"/><Relationship Id="rId7" Type="http://schemas.openxmlformats.org/officeDocument/2006/relationships/hyperlink" Target="#'BURNDOWN 3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BURNDOWN 2'!A1"/><Relationship Id="rId5" Type="http://schemas.openxmlformats.org/officeDocument/2006/relationships/hyperlink" Target="#'BURNDOWN 1'!A1"/><Relationship Id="rId4" Type="http://schemas.openxmlformats.org/officeDocument/2006/relationships/hyperlink" Target="#'BURNDOWN 0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'SPRINT 0'!A1"/><Relationship Id="rId7" Type="http://schemas.openxmlformats.org/officeDocument/2006/relationships/hyperlink" Target="#'BURNDOWN 3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BURNDOWN 2'!A1"/><Relationship Id="rId5" Type="http://schemas.openxmlformats.org/officeDocument/2006/relationships/hyperlink" Target="#'BURNDOWN 1'!A1"/><Relationship Id="rId4" Type="http://schemas.openxmlformats.org/officeDocument/2006/relationships/hyperlink" Target="#'BURNDOWN 0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BURNDOWN 3'!A1"/><Relationship Id="rId3" Type="http://schemas.openxmlformats.org/officeDocument/2006/relationships/hyperlink" Target="#BACKLOG!C9"/><Relationship Id="rId7" Type="http://schemas.openxmlformats.org/officeDocument/2006/relationships/hyperlink" Target="#'BURNDOWN 2'!C9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BURNDOWN 1'!A1"/><Relationship Id="rId5" Type="http://schemas.openxmlformats.org/officeDocument/2006/relationships/hyperlink" Target="#'BURNDOWN 0'!A1"/><Relationship Id="rId4" Type="http://schemas.openxmlformats.org/officeDocument/2006/relationships/hyperlink" Target="#'BURNDOWN 0'!C9"/><Relationship Id="rId9" Type="http://schemas.openxmlformats.org/officeDocument/2006/relationships/chart" Target="../charts/chart3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hyperlink" Target="#'SPRINT 0'!A1"/><Relationship Id="rId7" Type="http://schemas.openxmlformats.org/officeDocument/2006/relationships/hyperlink" Target="#'BURNDOWN 3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'BURNDOWN 2'!A1"/><Relationship Id="rId5" Type="http://schemas.openxmlformats.org/officeDocument/2006/relationships/hyperlink" Target="#'BURNDOWN 1'!A1"/><Relationship Id="rId4" Type="http://schemas.openxmlformats.org/officeDocument/2006/relationships/hyperlink" Target="#'BURNDOWN 0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SPRINT 0'!A1"/><Relationship Id="rId2" Type="http://schemas.openxmlformats.org/officeDocument/2006/relationships/hyperlink" Target="#PLANNING!A1"/><Relationship Id="rId1" Type="http://schemas.openxmlformats.org/officeDocument/2006/relationships/hyperlink" Target="#EQUIPE!A1"/><Relationship Id="rId6" Type="http://schemas.openxmlformats.org/officeDocument/2006/relationships/hyperlink" Target="#BACKLOG!A1"/><Relationship Id="rId5" Type="http://schemas.openxmlformats.org/officeDocument/2006/relationships/hyperlink" Target="#DAILY!A1"/><Relationship Id="rId4" Type="http://schemas.openxmlformats.org/officeDocument/2006/relationships/hyperlink" Target="#'BURNDOWN 0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1209675</xdr:colOff>
      <xdr:row>1</xdr:row>
      <xdr:rowOff>95251</xdr:rowOff>
    </xdr:from>
    <xdr:to>
      <xdr:col>3</xdr:col>
      <xdr:colOff>366600</xdr:colOff>
      <xdr:row>2</xdr:row>
      <xdr:rowOff>2251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9FFDD8-BF5B-49C7-AAFD-5EDB80F57E1E}"/>
            </a:ext>
          </a:extLst>
        </xdr:cNvPr>
        <xdr:cNvSpPr/>
      </xdr:nvSpPr>
      <xdr:spPr>
        <a:xfrm>
          <a:off x="1457325" y="590551"/>
          <a:ext cx="900000" cy="28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476250</xdr:colOff>
      <xdr:row>1</xdr:row>
      <xdr:rowOff>95251</xdr:rowOff>
    </xdr:from>
    <xdr:to>
      <xdr:col>3</xdr:col>
      <xdr:colOff>1376250</xdr:colOff>
      <xdr:row>2</xdr:row>
      <xdr:rowOff>2251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2F71E4F-D70D-4EB8-B6E8-B438CB2CE862}"/>
            </a:ext>
          </a:extLst>
        </xdr:cNvPr>
        <xdr:cNvSpPr/>
      </xdr:nvSpPr>
      <xdr:spPr>
        <a:xfrm>
          <a:off x="2466975" y="590551"/>
          <a:ext cx="900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2</xdr:col>
      <xdr:colOff>1428750</xdr:colOff>
      <xdr:row>0</xdr:row>
      <xdr:rowOff>9525</xdr:rowOff>
    </xdr:from>
    <xdr:to>
      <xdr:col>3</xdr:col>
      <xdr:colOff>945675</xdr:colOff>
      <xdr:row>1</xdr:row>
      <xdr:rowOff>225</xdr:rowOff>
    </xdr:to>
    <xdr:sp macro="" textlink="">
      <xdr:nvSpPr>
        <xdr:cNvPr id="7" name="Retângul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0DE202-B031-4C41-8655-76A05135149F}"/>
            </a:ext>
          </a:extLst>
        </xdr:cNvPr>
        <xdr:cNvSpPr/>
      </xdr:nvSpPr>
      <xdr:spPr>
        <a:xfrm>
          <a:off x="1676400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1076325</xdr:colOff>
      <xdr:row>0</xdr:row>
      <xdr:rowOff>9525</xdr:rowOff>
    </xdr:from>
    <xdr:to>
      <xdr:col>3</xdr:col>
      <xdr:colOff>2336325</xdr:colOff>
      <xdr:row>1</xdr:row>
      <xdr:rowOff>225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A2339A-0000-4125-B7C1-728C816E39D4}"/>
            </a:ext>
          </a:extLst>
        </xdr:cNvPr>
        <xdr:cNvSpPr/>
      </xdr:nvSpPr>
      <xdr:spPr>
        <a:xfrm>
          <a:off x="30670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114300</xdr:colOff>
      <xdr:row>0</xdr:row>
      <xdr:rowOff>9525</xdr:rowOff>
    </xdr:from>
    <xdr:to>
      <xdr:col>4</xdr:col>
      <xdr:colOff>1374300</xdr:colOff>
      <xdr:row>1</xdr:row>
      <xdr:rowOff>225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7D9340-C3E0-4F34-95E8-08A167E405DF}"/>
            </a:ext>
          </a:extLst>
        </xdr:cNvPr>
        <xdr:cNvSpPr/>
      </xdr:nvSpPr>
      <xdr:spPr>
        <a:xfrm>
          <a:off x="44577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4</xdr:col>
      <xdr:colOff>1504950</xdr:colOff>
      <xdr:row>0</xdr:row>
      <xdr:rowOff>9525</xdr:rowOff>
    </xdr:from>
    <xdr:to>
      <xdr:col>5</xdr:col>
      <xdr:colOff>78900</xdr:colOff>
      <xdr:row>1</xdr:row>
      <xdr:rowOff>225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39F887-C15A-4E45-B5A7-BA5B74504F52}"/>
            </a:ext>
          </a:extLst>
        </xdr:cNvPr>
        <xdr:cNvSpPr/>
      </xdr:nvSpPr>
      <xdr:spPr>
        <a:xfrm>
          <a:off x="58483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5</xdr:col>
      <xdr:colOff>209550</xdr:colOff>
      <xdr:row>0</xdr:row>
      <xdr:rowOff>9525</xdr:rowOff>
    </xdr:from>
    <xdr:to>
      <xdr:col>6</xdr:col>
      <xdr:colOff>183675</xdr:colOff>
      <xdr:row>1</xdr:row>
      <xdr:rowOff>225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B5A216-2D25-4E03-89A5-C3359C0095BC}"/>
            </a:ext>
          </a:extLst>
        </xdr:cNvPr>
        <xdr:cNvSpPr/>
      </xdr:nvSpPr>
      <xdr:spPr>
        <a:xfrm>
          <a:off x="72390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1209675</xdr:colOff>
      <xdr:row>1</xdr:row>
      <xdr:rowOff>95251</xdr:rowOff>
    </xdr:from>
    <xdr:to>
      <xdr:col>3</xdr:col>
      <xdr:colOff>385650</xdr:colOff>
      <xdr:row>2</xdr:row>
      <xdr:rowOff>2251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AD70-1E71-4610-A2D9-E2D2B7AFEC75}"/>
            </a:ext>
          </a:extLst>
        </xdr:cNvPr>
        <xdr:cNvSpPr/>
      </xdr:nvSpPr>
      <xdr:spPr>
        <a:xfrm>
          <a:off x="1457325" y="590551"/>
          <a:ext cx="900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495300</xdr:colOff>
      <xdr:row>1</xdr:row>
      <xdr:rowOff>95251</xdr:rowOff>
    </xdr:from>
    <xdr:to>
      <xdr:col>4</xdr:col>
      <xdr:colOff>785700</xdr:colOff>
      <xdr:row>2</xdr:row>
      <xdr:rowOff>2251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629900-89BA-4AD8-8BC6-680E0614365C}"/>
            </a:ext>
          </a:extLst>
        </xdr:cNvPr>
        <xdr:cNvSpPr/>
      </xdr:nvSpPr>
      <xdr:spPr>
        <a:xfrm>
          <a:off x="2466975" y="590551"/>
          <a:ext cx="900000" cy="28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2</xdr:col>
      <xdr:colOff>1438275</xdr:colOff>
      <xdr:row>0</xdr:row>
      <xdr:rowOff>9525</xdr:rowOff>
    </xdr:from>
    <xdr:to>
      <xdr:col>4</xdr:col>
      <xdr:colOff>364650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D853B6-680C-49E4-BE90-3F86C4E64B14}"/>
            </a:ext>
          </a:extLst>
        </xdr:cNvPr>
        <xdr:cNvSpPr/>
      </xdr:nvSpPr>
      <xdr:spPr>
        <a:xfrm>
          <a:off x="1685925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504825</xdr:colOff>
      <xdr:row>0</xdr:row>
      <xdr:rowOff>9525</xdr:rowOff>
    </xdr:from>
    <xdr:to>
      <xdr:col>5</xdr:col>
      <xdr:colOff>374175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B1A2A5-EFF8-402E-BEE2-6512ED57C71E}"/>
            </a:ext>
          </a:extLst>
        </xdr:cNvPr>
        <xdr:cNvSpPr/>
      </xdr:nvSpPr>
      <xdr:spPr>
        <a:xfrm>
          <a:off x="30861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504825</xdr:colOff>
      <xdr:row>0</xdr:row>
      <xdr:rowOff>9525</xdr:rowOff>
    </xdr:from>
    <xdr:to>
      <xdr:col>6</xdr:col>
      <xdr:colOff>1155225</xdr:colOff>
      <xdr:row>1</xdr:row>
      <xdr:rowOff>225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C649DB8-274E-4E71-BC70-ABABE62D46D6}"/>
            </a:ext>
          </a:extLst>
        </xdr:cNvPr>
        <xdr:cNvSpPr/>
      </xdr:nvSpPr>
      <xdr:spPr>
        <a:xfrm>
          <a:off x="44767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6</xdr:col>
      <xdr:colOff>1285875</xdr:colOff>
      <xdr:row>0</xdr:row>
      <xdr:rowOff>9525</xdr:rowOff>
    </xdr:from>
    <xdr:to>
      <xdr:col>8</xdr:col>
      <xdr:colOff>212250</xdr:colOff>
      <xdr:row>1</xdr:row>
      <xdr:rowOff>225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692EC56-0D48-4305-9F1E-BDC5CDEF5C5D}"/>
            </a:ext>
          </a:extLst>
        </xdr:cNvPr>
        <xdr:cNvSpPr/>
      </xdr:nvSpPr>
      <xdr:spPr>
        <a:xfrm>
          <a:off x="58674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8</xdr:col>
      <xdr:colOff>342900</xdr:colOff>
      <xdr:row>0</xdr:row>
      <xdr:rowOff>9525</xdr:rowOff>
    </xdr:from>
    <xdr:to>
      <xdr:col>10</xdr:col>
      <xdr:colOff>383700</xdr:colOff>
      <xdr:row>1</xdr:row>
      <xdr:rowOff>225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FC6DD1-562F-46D5-8C38-A40F65C14884}"/>
            </a:ext>
          </a:extLst>
        </xdr:cNvPr>
        <xdr:cNvSpPr/>
      </xdr:nvSpPr>
      <xdr:spPr>
        <a:xfrm>
          <a:off x="72580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1438275</xdr:colOff>
      <xdr:row>0</xdr:row>
      <xdr:rowOff>9525</xdr:rowOff>
    </xdr:from>
    <xdr:to>
      <xdr:col>4</xdr:col>
      <xdr:colOff>202725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63C0CC-DAFB-4271-8410-F8F45AFB684D}"/>
            </a:ext>
          </a:extLst>
        </xdr:cNvPr>
        <xdr:cNvSpPr/>
      </xdr:nvSpPr>
      <xdr:spPr>
        <a:xfrm>
          <a:off x="16859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323850</xdr:colOff>
      <xdr:row>0</xdr:row>
      <xdr:rowOff>9525</xdr:rowOff>
    </xdr:from>
    <xdr:to>
      <xdr:col>5</xdr:col>
      <xdr:colOff>621825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4DEC57-0D58-40A5-9400-CFFE2A8EDD12}"/>
            </a:ext>
          </a:extLst>
        </xdr:cNvPr>
        <xdr:cNvSpPr/>
      </xdr:nvSpPr>
      <xdr:spPr>
        <a:xfrm>
          <a:off x="3067050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752475</xdr:colOff>
      <xdr:row>0</xdr:row>
      <xdr:rowOff>9525</xdr:rowOff>
    </xdr:from>
    <xdr:to>
      <xdr:col>7</xdr:col>
      <xdr:colOff>364650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AE19AB-F685-4F6F-A4A2-4A222D1B664E}"/>
            </a:ext>
          </a:extLst>
        </xdr:cNvPr>
        <xdr:cNvSpPr/>
      </xdr:nvSpPr>
      <xdr:spPr>
        <a:xfrm>
          <a:off x="44577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7</xdr:col>
      <xdr:colOff>495300</xdr:colOff>
      <xdr:row>0</xdr:row>
      <xdr:rowOff>9525</xdr:rowOff>
    </xdr:from>
    <xdr:to>
      <xdr:col>8</xdr:col>
      <xdr:colOff>374175</xdr:colOff>
      <xdr:row>1</xdr:row>
      <xdr:rowOff>225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492BCB-D3A3-413B-8157-24BFA69EC236}"/>
            </a:ext>
          </a:extLst>
        </xdr:cNvPr>
        <xdr:cNvSpPr/>
      </xdr:nvSpPr>
      <xdr:spPr>
        <a:xfrm>
          <a:off x="58483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2</xdr:col>
      <xdr:colOff>1200150</xdr:colOff>
      <xdr:row>1</xdr:row>
      <xdr:rowOff>95250</xdr:rowOff>
    </xdr:from>
    <xdr:to>
      <xdr:col>3</xdr:col>
      <xdr:colOff>478800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63AEF0-203D-45A8-A7EB-7219E027F7D5}"/>
            </a:ext>
          </a:extLst>
        </xdr:cNvPr>
        <xdr:cNvSpPr/>
      </xdr:nvSpPr>
      <xdr:spPr>
        <a:xfrm>
          <a:off x="1447800" y="590550"/>
          <a:ext cx="936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4</xdr:col>
      <xdr:colOff>697875</xdr:colOff>
      <xdr:row>2</xdr:row>
      <xdr:rowOff>2250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94956C-27AB-4770-BE43-E3E2F6BAF49B}"/>
            </a:ext>
          </a:extLst>
        </xdr:cNvPr>
        <xdr:cNvSpPr/>
      </xdr:nvSpPr>
      <xdr:spPr>
        <a:xfrm>
          <a:off x="2505075" y="590550"/>
          <a:ext cx="936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</a:t>
          </a:r>
        </a:p>
      </xdr:txBody>
    </xdr:sp>
    <xdr:clientData/>
  </xdr:twoCellAnchor>
  <xdr:twoCellAnchor>
    <xdr:from>
      <xdr:col>4</xdr:col>
      <xdr:colOff>819150</xdr:colOff>
      <xdr:row>1</xdr:row>
      <xdr:rowOff>95250</xdr:rowOff>
    </xdr:from>
    <xdr:to>
      <xdr:col>5</xdr:col>
      <xdr:colOff>793125</xdr:colOff>
      <xdr:row>2</xdr:row>
      <xdr:rowOff>2250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5E919C-26B0-4BCD-9114-9E3501BA81F0}"/>
            </a:ext>
          </a:extLst>
        </xdr:cNvPr>
        <xdr:cNvSpPr/>
      </xdr:nvSpPr>
      <xdr:spPr>
        <a:xfrm>
          <a:off x="3562350" y="590550"/>
          <a:ext cx="936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BACKLOG</a:t>
          </a:r>
        </a:p>
      </xdr:txBody>
    </xdr:sp>
    <xdr:clientData/>
  </xdr:twoCellAnchor>
  <xdr:twoCellAnchor>
    <xdr:from>
      <xdr:col>8</xdr:col>
      <xdr:colOff>504825</xdr:colOff>
      <xdr:row>0</xdr:row>
      <xdr:rowOff>9525</xdr:rowOff>
    </xdr:from>
    <xdr:to>
      <xdr:col>8</xdr:col>
      <xdr:colOff>1764825</xdr:colOff>
      <xdr:row>1</xdr:row>
      <xdr:rowOff>225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72F1A3-E700-430C-B187-7B80D1307791}"/>
            </a:ext>
          </a:extLst>
        </xdr:cNvPr>
        <xdr:cNvSpPr/>
      </xdr:nvSpPr>
      <xdr:spPr>
        <a:xfrm>
          <a:off x="72390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5</xdr:row>
      <xdr:rowOff>19050</xdr:rowOff>
    </xdr:from>
    <xdr:to>
      <xdr:col>9</xdr:col>
      <xdr:colOff>209550</xdr:colOff>
      <xdr:row>5</xdr:row>
      <xdr:rowOff>314325</xdr:rowOff>
    </xdr:to>
    <xdr:sp macro="[0]!adiciona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2799F3C-743C-4BC5-BC22-0A71E3E5045A}"/>
            </a:ext>
          </a:extLst>
        </xdr:cNvPr>
        <xdr:cNvSpPr/>
      </xdr:nvSpPr>
      <xdr:spPr>
        <a:xfrm>
          <a:off x="10734675" y="2066925"/>
          <a:ext cx="1266825" cy="2952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Adicionar Registro</a:t>
          </a:r>
        </a:p>
      </xdr:txBody>
    </xdr:sp>
    <xdr:clientData/>
  </xdr:twoCellAnchor>
  <xdr:twoCellAnchor>
    <xdr:from>
      <xdr:col>3</xdr:col>
      <xdr:colOff>276225</xdr:colOff>
      <xdr:row>0</xdr:row>
      <xdr:rowOff>9525</xdr:rowOff>
    </xdr:from>
    <xdr:to>
      <xdr:col>3</xdr:col>
      <xdr:colOff>1536225</xdr:colOff>
      <xdr:row>1</xdr:row>
      <xdr:rowOff>225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D58193-5166-442F-9649-881366EF7EC2}"/>
            </a:ext>
          </a:extLst>
        </xdr:cNvPr>
        <xdr:cNvSpPr/>
      </xdr:nvSpPr>
      <xdr:spPr>
        <a:xfrm>
          <a:off x="16954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57150</xdr:colOff>
      <xdr:row>0</xdr:row>
      <xdr:rowOff>9525</xdr:rowOff>
    </xdr:from>
    <xdr:to>
      <xdr:col>4</xdr:col>
      <xdr:colOff>1317150</xdr:colOff>
      <xdr:row>1</xdr:row>
      <xdr:rowOff>225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DB3D42-E6AA-47BE-9D4D-592EAE71D7A7}"/>
            </a:ext>
          </a:extLst>
        </xdr:cNvPr>
        <xdr:cNvSpPr/>
      </xdr:nvSpPr>
      <xdr:spPr>
        <a:xfrm>
          <a:off x="3086100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1447800</xdr:colOff>
      <xdr:row>0</xdr:row>
      <xdr:rowOff>9525</xdr:rowOff>
    </xdr:from>
    <xdr:to>
      <xdr:col>5</xdr:col>
      <xdr:colOff>193200</xdr:colOff>
      <xdr:row>1</xdr:row>
      <xdr:rowOff>225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CC30AC-96F6-44AC-8744-93B8A86FE896}"/>
            </a:ext>
          </a:extLst>
        </xdr:cNvPr>
        <xdr:cNvSpPr/>
      </xdr:nvSpPr>
      <xdr:spPr>
        <a:xfrm>
          <a:off x="44767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5</xdr:col>
      <xdr:colOff>314325</xdr:colOff>
      <xdr:row>0</xdr:row>
      <xdr:rowOff>9525</xdr:rowOff>
    </xdr:from>
    <xdr:to>
      <xdr:col>5</xdr:col>
      <xdr:colOff>1574325</xdr:colOff>
      <xdr:row>1</xdr:row>
      <xdr:rowOff>225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86D1E6-9BE7-4ABF-98FF-6CEE723B6D18}"/>
            </a:ext>
          </a:extLst>
        </xdr:cNvPr>
        <xdr:cNvSpPr/>
      </xdr:nvSpPr>
      <xdr:spPr>
        <a:xfrm>
          <a:off x="585787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3</xdr:col>
      <xdr:colOff>57150</xdr:colOff>
      <xdr:row>1</xdr:row>
      <xdr:rowOff>95250</xdr:rowOff>
    </xdr:from>
    <xdr:to>
      <xdr:col>3</xdr:col>
      <xdr:colOff>993150</xdr:colOff>
      <xdr:row>2</xdr:row>
      <xdr:rowOff>2250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F5DEA0-E8D6-49CA-B1D0-588A3736234F}"/>
            </a:ext>
          </a:extLst>
        </xdr:cNvPr>
        <xdr:cNvSpPr/>
      </xdr:nvSpPr>
      <xdr:spPr>
        <a:xfrm>
          <a:off x="1476375" y="590550"/>
          <a:ext cx="936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1114425</xdr:colOff>
      <xdr:row>1</xdr:row>
      <xdr:rowOff>95250</xdr:rowOff>
    </xdr:from>
    <xdr:to>
      <xdr:col>4</xdr:col>
      <xdr:colOff>440700</xdr:colOff>
      <xdr:row>2</xdr:row>
      <xdr:rowOff>2250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4E135F68-489C-4A82-8519-F37A2DE2636E}"/>
            </a:ext>
          </a:extLst>
        </xdr:cNvPr>
        <xdr:cNvSpPr/>
      </xdr:nvSpPr>
      <xdr:spPr>
        <a:xfrm>
          <a:off x="2533650" y="590550"/>
          <a:ext cx="936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</a:t>
          </a:r>
        </a:p>
      </xdr:txBody>
    </xdr:sp>
    <xdr:clientData/>
  </xdr:twoCellAnchor>
  <xdr:twoCellAnchor>
    <xdr:from>
      <xdr:col>4</xdr:col>
      <xdr:colOff>552450</xdr:colOff>
      <xdr:row>1</xdr:row>
      <xdr:rowOff>95250</xdr:rowOff>
    </xdr:from>
    <xdr:to>
      <xdr:col>4</xdr:col>
      <xdr:colOff>1488450</xdr:colOff>
      <xdr:row>2</xdr:row>
      <xdr:rowOff>2250</xdr:rowOff>
    </xdr:to>
    <xdr:sp macro="" textlink="">
      <xdr:nvSpPr>
        <xdr:cNvPr id="19" name="Retângul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E17CDC6-844C-465B-88B3-AEC28EEC405A}"/>
            </a:ext>
          </a:extLst>
        </xdr:cNvPr>
        <xdr:cNvSpPr/>
      </xdr:nvSpPr>
      <xdr:spPr>
        <a:xfrm>
          <a:off x="3581400" y="590550"/>
          <a:ext cx="936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BACKLOG</a:t>
          </a:r>
        </a:p>
      </xdr:txBody>
    </xdr:sp>
    <xdr:clientData/>
  </xdr:twoCellAnchor>
  <xdr:twoCellAnchor>
    <xdr:from>
      <xdr:col>5</xdr:col>
      <xdr:colOff>1714500</xdr:colOff>
      <xdr:row>0</xdr:row>
      <xdr:rowOff>9525</xdr:rowOff>
    </xdr:from>
    <xdr:to>
      <xdr:col>6</xdr:col>
      <xdr:colOff>459900</xdr:colOff>
      <xdr:row>1</xdr:row>
      <xdr:rowOff>225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765895-6F4D-48C0-97D7-BF7B6433C97D}"/>
            </a:ext>
          </a:extLst>
        </xdr:cNvPr>
        <xdr:cNvSpPr/>
      </xdr:nvSpPr>
      <xdr:spPr>
        <a:xfrm>
          <a:off x="72580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1438275</xdr:colOff>
      <xdr:row>0</xdr:row>
      <xdr:rowOff>9525</xdr:rowOff>
    </xdr:from>
    <xdr:to>
      <xdr:col>2</xdr:col>
      <xdr:colOff>2698275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235BF2-F7C8-4DDC-8563-07E37DBDA177}"/>
            </a:ext>
          </a:extLst>
        </xdr:cNvPr>
        <xdr:cNvSpPr/>
      </xdr:nvSpPr>
      <xdr:spPr>
        <a:xfrm>
          <a:off x="16859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2828925</xdr:colOff>
      <xdr:row>0</xdr:row>
      <xdr:rowOff>9525</xdr:rowOff>
    </xdr:from>
    <xdr:to>
      <xdr:col>3</xdr:col>
      <xdr:colOff>707550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D9167-A133-49AE-9BA9-4F013B6B8DAF}"/>
            </a:ext>
          </a:extLst>
        </xdr:cNvPr>
        <xdr:cNvSpPr/>
      </xdr:nvSpPr>
      <xdr:spPr>
        <a:xfrm>
          <a:off x="3076575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838200</xdr:colOff>
      <xdr:row>0</xdr:row>
      <xdr:rowOff>9525</xdr:rowOff>
    </xdr:from>
    <xdr:to>
      <xdr:col>4</xdr:col>
      <xdr:colOff>707550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E9AB5D-A591-4DB1-8055-044500B58B5A}"/>
            </a:ext>
          </a:extLst>
        </xdr:cNvPr>
        <xdr:cNvSpPr/>
      </xdr:nvSpPr>
      <xdr:spPr>
        <a:xfrm>
          <a:off x="44672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4</xdr:col>
      <xdr:colOff>838200</xdr:colOff>
      <xdr:row>0</xdr:row>
      <xdr:rowOff>9525</xdr:rowOff>
    </xdr:from>
    <xdr:to>
      <xdr:col>5</xdr:col>
      <xdr:colOff>717075</xdr:colOff>
      <xdr:row>1</xdr:row>
      <xdr:rowOff>225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0F30EE3-8FDD-4277-BACE-710397BCC626}"/>
            </a:ext>
          </a:extLst>
        </xdr:cNvPr>
        <xdr:cNvSpPr/>
      </xdr:nvSpPr>
      <xdr:spPr>
        <a:xfrm>
          <a:off x="585787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2</xdr:col>
      <xdr:colOff>1219200</xdr:colOff>
      <xdr:row>1</xdr:row>
      <xdr:rowOff>95250</xdr:rowOff>
    </xdr:from>
    <xdr:to>
      <xdr:col>2</xdr:col>
      <xdr:colOff>2155200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845B07-6AF4-4C40-9EFE-1F8830AF2594}"/>
            </a:ext>
          </a:extLst>
        </xdr:cNvPr>
        <xdr:cNvSpPr/>
      </xdr:nvSpPr>
      <xdr:spPr>
        <a:xfrm>
          <a:off x="1466850" y="590550"/>
          <a:ext cx="936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2</xdr:col>
      <xdr:colOff>2276475</xdr:colOff>
      <xdr:row>1</xdr:row>
      <xdr:rowOff>95250</xdr:rowOff>
    </xdr:from>
    <xdr:to>
      <xdr:col>2</xdr:col>
      <xdr:colOff>3212475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85802EF-79C6-4BCB-BA6F-CE2AF115B7DF}"/>
            </a:ext>
          </a:extLst>
        </xdr:cNvPr>
        <xdr:cNvSpPr/>
      </xdr:nvSpPr>
      <xdr:spPr>
        <a:xfrm>
          <a:off x="2524125" y="590550"/>
          <a:ext cx="936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</a:t>
          </a:r>
        </a:p>
      </xdr:txBody>
    </xdr:sp>
    <xdr:clientData/>
  </xdr:twoCellAnchor>
  <xdr:twoCellAnchor>
    <xdr:from>
      <xdr:col>2</xdr:col>
      <xdr:colOff>3324225</xdr:colOff>
      <xdr:row>1</xdr:row>
      <xdr:rowOff>95250</xdr:rowOff>
    </xdr:from>
    <xdr:to>
      <xdr:col>3</xdr:col>
      <xdr:colOff>878850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BA932B-FFCD-43D0-80DD-1E1102D7F870}"/>
            </a:ext>
          </a:extLst>
        </xdr:cNvPr>
        <xdr:cNvSpPr/>
      </xdr:nvSpPr>
      <xdr:spPr>
        <a:xfrm>
          <a:off x="3571875" y="590550"/>
          <a:ext cx="936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BACKLOG</a:t>
          </a:r>
        </a:p>
      </xdr:txBody>
    </xdr:sp>
    <xdr:clientData/>
  </xdr:twoCellAnchor>
  <xdr:twoCellAnchor>
    <xdr:from>
      <xdr:col>5</xdr:col>
      <xdr:colOff>847725</xdr:colOff>
      <xdr:row>0</xdr:row>
      <xdr:rowOff>9525</xdr:rowOff>
    </xdr:from>
    <xdr:to>
      <xdr:col>7</xdr:col>
      <xdr:colOff>336075</xdr:colOff>
      <xdr:row>1</xdr:row>
      <xdr:rowOff>225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282E16-3861-4715-A99E-71C0EE01A090}"/>
            </a:ext>
          </a:extLst>
        </xdr:cNvPr>
        <xdr:cNvSpPr/>
      </xdr:nvSpPr>
      <xdr:spPr>
        <a:xfrm>
          <a:off x="72485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1438275</xdr:colOff>
      <xdr:row>0</xdr:row>
      <xdr:rowOff>9525</xdr:rowOff>
    </xdr:from>
    <xdr:to>
      <xdr:col>2</xdr:col>
      <xdr:colOff>2698275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A579EC-6D90-4796-8C2E-568B00156037}"/>
            </a:ext>
          </a:extLst>
        </xdr:cNvPr>
        <xdr:cNvSpPr/>
      </xdr:nvSpPr>
      <xdr:spPr>
        <a:xfrm>
          <a:off x="16859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2819400</xdr:colOff>
      <xdr:row>0</xdr:row>
      <xdr:rowOff>9525</xdr:rowOff>
    </xdr:from>
    <xdr:to>
      <xdr:col>3</xdr:col>
      <xdr:colOff>1221900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731395E-5D2C-4A5D-9B9E-5D62F2633801}"/>
            </a:ext>
          </a:extLst>
        </xdr:cNvPr>
        <xdr:cNvSpPr/>
      </xdr:nvSpPr>
      <xdr:spPr>
        <a:xfrm>
          <a:off x="30670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1352550</xdr:colOff>
      <xdr:row>0</xdr:row>
      <xdr:rowOff>9525</xdr:rowOff>
    </xdr:from>
    <xdr:to>
      <xdr:col>3</xdr:col>
      <xdr:colOff>2612550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EB01C3-DF34-4A45-A102-584BCED5220B}"/>
            </a:ext>
          </a:extLst>
        </xdr:cNvPr>
        <xdr:cNvSpPr/>
      </xdr:nvSpPr>
      <xdr:spPr>
        <a:xfrm>
          <a:off x="4457700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3</xdr:col>
      <xdr:colOff>2733675</xdr:colOff>
      <xdr:row>0</xdr:row>
      <xdr:rowOff>9525</xdr:rowOff>
    </xdr:from>
    <xdr:to>
      <xdr:col>4</xdr:col>
      <xdr:colOff>945675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039A15-8404-4BDD-BD6F-4F7C4A404532}"/>
            </a:ext>
          </a:extLst>
        </xdr:cNvPr>
        <xdr:cNvSpPr/>
      </xdr:nvSpPr>
      <xdr:spPr>
        <a:xfrm>
          <a:off x="58388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2</xdr:col>
      <xdr:colOff>1219200</xdr:colOff>
      <xdr:row>1</xdr:row>
      <xdr:rowOff>95250</xdr:rowOff>
    </xdr:from>
    <xdr:to>
      <xdr:col>2</xdr:col>
      <xdr:colOff>2047200</xdr:colOff>
      <xdr:row>2</xdr:row>
      <xdr:rowOff>2250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A42E0C-4883-451F-8FC1-CE13B77441D5}"/>
            </a:ext>
          </a:extLst>
        </xdr:cNvPr>
        <xdr:cNvSpPr/>
      </xdr:nvSpPr>
      <xdr:spPr>
        <a:xfrm>
          <a:off x="1466850" y="590550"/>
          <a:ext cx="82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SPRINT 0</a:t>
          </a:r>
        </a:p>
      </xdr:txBody>
    </xdr:sp>
    <xdr:clientData/>
  </xdr:twoCellAnchor>
  <xdr:twoCellAnchor>
    <xdr:from>
      <xdr:col>2</xdr:col>
      <xdr:colOff>2162175</xdr:colOff>
      <xdr:row>1</xdr:row>
      <xdr:rowOff>95250</xdr:rowOff>
    </xdr:from>
    <xdr:to>
      <xdr:col>3</xdr:col>
      <xdr:colOff>132675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0EAC61B-58A5-4789-8492-43E9E520BF18}"/>
            </a:ext>
          </a:extLst>
        </xdr:cNvPr>
        <xdr:cNvSpPr/>
      </xdr:nvSpPr>
      <xdr:spPr>
        <a:xfrm>
          <a:off x="2409825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1</a:t>
          </a:r>
        </a:p>
      </xdr:txBody>
    </xdr:sp>
    <xdr:clientData/>
  </xdr:twoCellAnchor>
  <xdr:twoCellAnchor>
    <xdr:from>
      <xdr:col>3</xdr:col>
      <xdr:colOff>247650</xdr:colOff>
      <xdr:row>1</xdr:row>
      <xdr:rowOff>95250</xdr:rowOff>
    </xdr:from>
    <xdr:to>
      <xdr:col>3</xdr:col>
      <xdr:colOff>1075650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A14F79E-0846-45F4-A376-8472E1C09510}"/>
            </a:ext>
          </a:extLst>
        </xdr:cNvPr>
        <xdr:cNvSpPr/>
      </xdr:nvSpPr>
      <xdr:spPr>
        <a:xfrm>
          <a:off x="3352800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2</a:t>
          </a:r>
        </a:p>
      </xdr:txBody>
    </xdr:sp>
    <xdr:clientData/>
  </xdr:twoCellAnchor>
  <xdr:twoCellAnchor>
    <xdr:from>
      <xdr:col>3</xdr:col>
      <xdr:colOff>1190625</xdr:colOff>
      <xdr:row>1</xdr:row>
      <xdr:rowOff>95250</xdr:rowOff>
    </xdr:from>
    <xdr:to>
      <xdr:col>3</xdr:col>
      <xdr:colOff>2018625</xdr:colOff>
      <xdr:row>2</xdr:row>
      <xdr:rowOff>2250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D596570-A866-4A9B-9F06-A23852927800}"/>
            </a:ext>
          </a:extLst>
        </xdr:cNvPr>
        <xdr:cNvSpPr/>
      </xdr:nvSpPr>
      <xdr:spPr>
        <a:xfrm>
          <a:off x="4295775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3</a:t>
          </a:r>
        </a:p>
      </xdr:txBody>
    </xdr:sp>
    <xdr:clientData/>
  </xdr:twoCellAnchor>
  <xdr:twoCellAnchor>
    <xdr:from>
      <xdr:col>4</xdr:col>
      <xdr:colOff>1066800</xdr:colOff>
      <xdr:row>0</xdr:row>
      <xdr:rowOff>9525</xdr:rowOff>
    </xdr:from>
    <xdr:to>
      <xdr:col>5</xdr:col>
      <xdr:colOff>1012350</xdr:colOff>
      <xdr:row>1</xdr:row>
      <xdr:rowOff>225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73E680-625B-4114-8B37-3C4B597CDD41}"/>
            </a:ext>
          </a:extLst>
        </xdr:cNvPr>
        <xdr:cNvSpPr/>
      </xdr:nvSpPr>
      <xdr:spPr>
        <a:xfrm>
          <a:off x="72199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1428750</xdr:colOff>
      <xdr:row>0</xdr:row>
      <xdr:rowOff>9525</xdr:rowOff>
    </xdr:from>
    <xdr:to>
      <xdr:col>2</xdr:col>
      <xdr:colOff>2688750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1CD8DF-BFEB-4360-B6DC-DB5E754AF72B}"/>
            </a:ext>
          </a:extLst>
        </xdr:cNvPr>
        <xdr:cNvSpPr/>
      </xdr:nvSpPr>
      <xdr:spPr>
        <a:xfrm>
          <a:off x="16764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2809875</xdr:colOff>
      <xdr:row>0</xdr:row>
      <xdr:rowOff>9525</xdr:rowOff>
    </xdr:from>
    <xdr:to>
      <xdr:col>3</xdr:col>
      <xdr:colOff>1212375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26B4FC0-F1A4-4223-895B-402A22701A9E}"/>
            </a:ext>
          </a:extLst>
        </xdr:cNvPr>
        <xdr:cNvSpPr/>
      </xdr:nvSpPr>
      <xdr:spPr>
        <a:xfrm>
          <a:off x="30575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1343025</xdr:colOff>
      <xdr:row>0</xdr:row>
      <xdr:rowOff>9525</xdr:rowOff>
    </xdr:from>
    <xdr:to>
      <xdr:col>3</xdr:col>
      <xdr:colOff>2603025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D05484-A8E6-4BE6-88A9-5F40046F0792}"/>
            </a:ext>
          </a:extLst>
        </xdr:cNvPr>
        <xdr:cNvSpPr/>
      </xdr:nvSpPr>
      <xdr:spPr>
        <a:xfrm>
          <a:off x="4448175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3</xdr:col>
      <xdr:colOff>2724149</xdr:colOff>
      <xdr:row>0</xdr:row>
      <xdr:rowOff>9525</xdr:rowOff>
    </xdr:from>
    <xdr:to>
      <xdr:col>4</xdr:col>
      <xdr:colOff>936149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FEF2514-7F31-4D1E-98E3-2CA32BE928A6}"/>
            </a:ext>
          </a:extLst>
        </xdr:cNvPr>
        <xdr:cNvSpPr/>
      </xdr:nvSpPr>
      <xdr:spPr>
        <a:xfrm>
          <a:off x="5829299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2</xdr:col>
      <xdr:colOff>1228725</xdr:colOff>
      <xdr:row>1</xdr:row>
      <xdr:rowOff>95250</xdr:rowOff>
    </xdr:from>
    <xdr:to>
      <xdr:col>2</xdr:col>
      <xdr:colOff>2056725</xdr:colOff>
      <xdr:row>2</xdr:row>
      <xdr:rowOff>2250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DF43BE-15F5-4037-AAED-EA916DEC9DBE}"/>
            </a:ext>
          </a:extLst>
        </xdr:cNvPr>
        <xdr:cNvSpPr/>
      </xdr:nvSpPr>
      <xdr:spPr>
        <a:xfrm>
          <a:off x="1476375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0</a:t>
          </a:r>
        </a:p>
      </xdr:txBody>
    </xdr:sp>
    <xdr:clientData/>
  </xdr:twoCellAnchor>
  <xdr:twoCellAnchor>
    <xdr:from>
      <xdr:col>2</xdr:col>
      <xdr:colOff>2171700</xdr:colOff>
      <xdr:row>1</xdr:row>
      <xdr:rowOff>95250</xdr:rowOff>
    </xdr:from>
    <xdr:to>
      <xdr:col>3</xdr:col>
      <xdr:colOff>142200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DB3B5B-FEDA-4283-A022-B4E087DE47BD}"/>
            </a:ext>
          </a:extLst>
        </xdr:cNvPr>
        <xdr:cNvSpPr/>
      </xdr:nvSpPr>
      <xdr:spPr>
        <a:xfrm>
          <a:off x="2419350" y="590550"/>
          <a:ext cx="82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SPRINT 1</a:t>
          </a:r>
        </a:p>
      </xdr:txBody>
    </xdr:sp>
    <xdr:clientData/>
  </xdr:twoCellAnchor>
  <xdr:twoCellAnchor>
    <xdr:from>
      <xdr:col>3</xdr:col>
      <xdr:colOff>266700</xdr:colOff>
      <xdr:row>1</xdr:row>
      <xdr:rowOff>95250</xdr:rowOff>
    </xdr:from>
    <xdr:to>
      <xdr:col>3</xdr:col>
      <xdr:colOff>1094700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F0F4E76-9E09-42D1-B47D-1FF78245B305}"/>
            </a:ext>
          </a:extLst>
        </xdr:cNvPr>
        <xdr:cNvSpPr/>
      </xdr:nvSpPr>
      <xdr:spPr>
        <a:xfrm>
          <a:off x="3371850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2</a:t>
          </a:r>
        </a:p>
      </xdr:txBody>
    </xdr:sp>
    <xdr:clientData/>
  </xdr:twoCellAnchor>
  <xdr:twoCellAnchor>
    <xdr:from>
      <xdr:col>3</xdr:col>
      <xdr:colOff>1219200</xdr:colOff>
      <xdr:row>1</xdr:row>
      <xdr:rowOff>95250</xdr:rowOff>
    </xdr:from>
    <xdr:to>
      <xdr:col>3</xdr:col>
      <xdr:colOff>2047200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0472C15-489E-48CC-B22B-9336748D4943}"/>
            </a:ext>
          </a:extLst>
        </xdr:cNvPr>
        <xdr:cNvSpPr/>
      </xdr:nvSpPr>
      <xdr:spPr>
        <a:xfrm>
          <a:off x="4324350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3</a:t>
          </a:r>
        </a:p>
      </xdr:txBody>
    </xdr:sp>
    <xdr:clientData/>
  </xdr:twoCellAnchor>
  <xdr:twoCellAnchor>
    <xdr:from>
      <xdr:col>4</xdr:col>
      <xdr:colOff>1057274</xdr:colOff>
      <xdr:row>0</xdr:row>
      <xdr:rowOff>9525</xdr:rowOff>
    </xdr:from>
    <xdr:to>
      <xdr:col>5</xdr:col>
      <xdr:colOff>1002824</xdr:colOff>
      <xdr:row>1</xdr:row>
      <xdr:rowOff>225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15B878-0898-4FE1-85FA-662E5FBB552D}"/>
            </a:ext>
          </a:extLst>
        </xdr:cNvPr>
        <xdr:cNvSpPr/>
      </xdr:nvSpPr>
      <xdr:spPr>
        <a:xfrm>
          <a:off x="7210424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1419225</xdr:colOff>
      <xdr:row>0</xdr:row>
      <xdr:rowOff>9525</xdr:rowOff>
    </xdr:from>
    <xdr:to>
      <xdr:col>2</xdr:col>
      <xdr:colOff>2679225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DC9817-84D1-41BD-B142-6A318B646553}"/>
            </a:ext>
          </a:extLst>
        </xdr:cNvPr>
        <xdr:cNvSpPr/>
      </xdr:nvSpPr>
      <xdr:spPr>
        <a:xfrm>
          <a:off x="166687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2800350</xdr:colOff>
      <xdr:row>0</xdr:row>
      <xdr:rowOff>9525</xdr:rowOff>
    </xdr:from>
    <xdr:to>
      <xdr:col>3</xdr:col>
      <xdr:colOff>1202850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503384-7171-4B90-95E0-7439329D7539}"/>
            </a:ext>
          </a:extLst>
        </xdr:cNvPr>
        <xdr:cNvSpPr/>
      </xdr:nvSpPr>
      <xdr:spPr>
        <a:xfrm>
          <a:off x="30480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1333500</xdr:colOff>
      <xdr:row>0</xdr:row>
      <xdr:rowOff>9525</xdr:rowOff>
    </xdr:from>
    <xdr:to>
      <xdr:col>3</xdr:col>
      <xdr:colOff>2593500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F039F0-3045-4A34-BB15-8FC0BB92E172}"/>
            </a:ext>
          </a:extLst>
        </xdr:cNvPr>
        <xdr:cNvSpPr/>
      </xdr:nvSpPr>
      <xdr:spPr>
        <a:xfrm>
          <a:off x="4438650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3</xdr:col>
      <xdr:colOff>2724150</xdr:colOff>
      <xdr:row>0</xdr:row>
      <xdr:rowOff>9525</xdr:rowOff>
    </xdr:from>
    <xdr:to>
      <xdr:col>4</xdr:col>
      <xdr:colOff>936150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1BA6D25-F69C-4EC1-AB0E-E74226D7E858}"/>
            </a:ext>
          </a:extLst>
        </xdr:cNvPr>
        <xdr:cNvSpPr/>
      </xdr:nvSpPr>
      <xdr:spPr>
        <a:xfrm>
          <a:off x="58293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2</xdr:col>
      <xdr:colOff>1238250</xdr:colOff>
      <xdr:row>1</xdr:row>
      <xdr:rowOff>95250</xdr:rowOff>
    </xdr:from>
    <xdr:to>
      <xdr:col>2</xdr:col>
      <xdr:colOff>2066250</xdr:colOff>
      <xdr:row>2</xdr:row>
      <xdr:rowOff>2250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8E1735-6E90-4350-8EFF-3524AF5E7C48}"/>
            </a:ext>
          </a:extLst>
        </xdr:cNvPr>
        <xdr:cNvSpPr/>
      </xdr:nvSpPr>
      <xdr:spPr>
        <a:xfrm>
          <a:off x="1485900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0</a:t>
          </a:r>
        </a:p>
      </xdr:txBody>
    </xdr:sp>
    <xdr:clientData/>
  </xdr:twoCellAnchor>
  <xdr:twoCellAnchor>
    <xdr:from>
      <xdr:col>2</xdr:col>
      <xdr:colOff>2181225</xdr:colOff>
      <xdr:row>1</xdr:row>
      <xdr:rowOff>95250</xdr:rowOff>
    </xdr:from>
    <xdr:to>
      <xdr:col>3</xdr:col>
      <xdr:colOff>151725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9E0D96-C5B7-4683-8991-BF9FBFE10693}"/>
            </a:ext>
          </a:extLst>
        </xdr:cNvPr>
        <xdr:cNvSpPr/>
      </xdr:nvSpPr>
      <xdr:spPr>
        <a:xfrm>
          <a:off x="2428875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1</a:t>
          </a:r>
        </a:p>
      </xdr:txBody>
    </xdr:sp>
    <xdr:clientData/>
  </xdr:twoCellAnchor>
  <xdr:twoCellAnchor>
    <xdr:from>
      <xdr:col>3</xdr:col>
      <xdr:colOff>266700</xdr:colOff>
      <xdr:row>1</xdr:row>
      <xdr:rowOff>95250</xdr:rowOff>
    </xdr:from>
    <xdr:to>
      <xdr:col>3</xdr:col>
      <xdr:colOff>1094700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7D7C5A5-83B4-4469-8E33-484B0B345100}"/>
            </a:ext>
          </a:extLst>
        </xdr:cNvPr>
        <xdr:cNvSpPr/>
      </xdr:nvSpPr>
      <xdr:spPr>
        <a:xfrm>
          <a:off x="3371850" y="590550"/>
          <a:ext cx="82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SPRINT 2</a:t>
          </a:r>
        </a:p>
      </xdr:txBody>
    </xdr:sp>
    <xdr:clientData/>
  </xdr:twoCellAnchor>
  <xdr:twoCellAnchor>
    <xdr:from>
      <xdr:col>3</xdr:col>
      <xdr:colOff>1219200</xdr:colOff>
      <xdr:row>1</xdr:row>
      <xdr:rowOff>95250</xdr:rowOff>
    </xdr:from>
    <xdr:to>
      <xdr:col>3</xdr:col>
      <xdr:colOff>2047200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7771D36-A231-4154-B0F4-5D642DBB357B}"/>
            </a:ext>
          </a:extLst>
        </xdr:cNvPr>
        <xdr:cNvSpPr/>
      </xdr:nvSpPr>
      <xdr:spPr>
        <a:xfrm>
          <a:off x="4324350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3</a:t>
          </a:r>
        </a:p>
      </xdr:txBody>
    </xdr:sp>
    <xdr:clientData/>
  </xdr:twoCellAnchor>
  <xdr:twoCellAnchor>
    <xdr:from>
      <xdr:col>4</xdr:col>
      <xdr:colOff>1066800</xdr:colOff>
      <xdr:row>0</xdr:row>
      <xdr:rowOff>9525</xdr:rowOff>
    </xdr:from>
    <xdr:to>
      <xdr:col>5</xdr:col>
      <xdr:colOff>1012350</xdr:colOff>
      <xdr:row>1</xdr:row>
      <xdr:rowOff>225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F918992-611A-4AAB-AABE-CB5B891781EE}"/>
            </a:ext>
          </a:extLst>
        </xdr:cNvPr>
        <xdr:cNvSpPr/>
      </xdr:nvSpPr>
      <xdr:spPr>
        <a:xfrm>
          <a:off x="72199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1447800</xdr:colOff>
      <xdr:row>0</xdr:row>
      <xdr:rowOff>9525</xdr:rowOff>
    </xdr:from>
    <xdr:to>
      <xdr:col>2</xdr:col>
      <xdr:colOff>2707800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A65AEA-8553-4669-A166-3C091A5BE097}"/>
            </a:ext>
          </a:extLst>
        </xdr:cNvPr>
        <xdr:cNvSpPr/>
      </xdr:nvSpPr>
      <xdr:spPr>
        <a:xfrm>
          <a:off x="16954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2838450</xdr:colOff>
      <xdr:row>0</xdr:row>
      <xdr:rowOff>9525</xdr:rowOff>
    </xdr:from>
    <xdr:to>
      <xdr:col>3</xdr:col>
      <xdr:colOff>1240950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F09AB6-1EBE-4214-8D30-1883D1F2CD5C}"/>
            </a:ext>
          </a:extLst>
        </xdr:cNvPr>
        <xdr:cNvSpPr/>
      </xdr:nvSpPr>
      <xdr:spPr>
        <a:xfrm>
          <a:off x="30861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1371600</xdr:colOff>
      <xdr:row>0</xdr:row>
      <xdr:rowOff>9525</xdr:rowOff>
    </xdr:from>
    <xdr:to>
      <xdr:col>3</xdr:col>
      <xdr:colOff>2631600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63F065-7970-43FB-BE29-D014CE78F6AA}"/>
            </a:ext>
          </a:extLst>
        </xdr:cNvPr>
        <xdr:cNvSpPr/>
      </xdr:nvSpPr>
      <xdr:spPr>
        <a:xfrm>
          <a:off x="4476750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3</xdr:col>
      <xdr:colOff>2762249</xdr:colOff>
      <xdr:row>0</xdr:row>
      <xdr:rowOff>9525</xdr:rowOff>
    </xdr:from>
    <xdr:to>
      <xdr:col>4</xdr:col>
      <xdr:colOff>974249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1ABB64-5DCA-4F38-B47C-B2BEAA6F9CF6}"/>
            </a:ext>
          </a:extLst>
        </xdr:cNvPr>
        <xdr:cNvSpPr/>
      </xdr:nvSpPr>
      <xdr:spPr>
        <a:xfrm>
          <a:off x="5867399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2</xdr:col>
      <xdr:colOff>1219200</xdr:colOff>
      <xdr:row>1</xdr:row>
      <xdr:rowOff>95250</xdr:rowOff>
    </xdr:from>
    <xdr:to>
      <xdr:col>2</xdr:col>
      <xdr:colOff>2047200</xdr:colOff>
      <xdr:row>2</xdr:row>
      <xdr:rowOff>2250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8BE5B5-336C-4A95-90BF-FA79CA6E99B4}"/>
            </a:ext>
          </a:extLst>
        </xdr:cNvPr>
        <xdr:cNvSpPr/>
      </xdr:nvSpPr>
      <xdr:spPr>
        <a:xfrm>
          <a:off x="1466850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0</a:t>
          </a:r>
        </a:p>
      </xdr:txBody>
    </xdr:sp>
    <xdr:clientData/>
  </xdr:twoCellAnchor>
  <xdr:twoCellAnchor>
    <xdr:from>
      <xdr:col>2</xdr:col>
      <xdr:colOff>2162175</xdr:colOff>
      <xdr:row>1</xdr:row>
      <xdr:rowOff>95250</xdr:rowOff>
    </xdr:from>
    <xdr:to>
      <xdr:col>3</xdr:col>
      <xdr:colOff>132675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8A087A-3E40-4D5D-AA0E-5129A5370C8A}"/>
            </a:ext>
          </a:extLst>
        </xdr:cNvPr>
        <xdr:cNvSpPr/>
      </xdr:nvSpPr>
      <xdr:spPr>
        <a:xfrm>
          <a:off x="2409825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1</a:t>
          </a:r>
        </a:p>
      </xdr:txBody>
    </xdr:sp>
    <xdr:clientData/>
  </xdr:twoCellAnchor>
  <xdr:twoCellAnchor>
    <xdr:from>
      <xdr:col>3</xdr:col>
      <xdr:colOff>247650</xdr:colOff>
      <xdr:row>1</xdr:row>
      <xdr:rowOff>95250</xdr:rowOff>
    </xdr:from>
    <xdr:to>
      <xdr:col>3</xdr:col>
      <xdr:colOff>1075650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E837948-A6F7-4675-B522-8AA4B62072E5}"/>
            </a:ext>
          </a:extLst>
        </xdr:cNvPr>
        <xdr:cNvSpPr/>
      </xdr:nvSpPr>
      <xdr:spPr>
        <a:xfrm>
          <a:off x="3352800" y="590550"/>
          <a:ext cx="82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 2</a:t>
          </a:r>
        </a:p>
      </xdr:txBody>
    </xdr:sp>
    <xdr:clientData/>
  </xdr:twoCellAnchor>
  <xdr:twoCellAnchor>
    <xdr:from>
      <xdr:col>3</xdr:col>
      <xdr:colOff>1190625</xdr:colOff>
      <xdr:row>1</xdr:row>
      <xdr:rowOff>95250</xdr:rowOff>
    </xdr:from>
    <xdr:to>
      <xdr:col>3</xdr:col>
      <xdr:colOff>2018625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77B16D6-92F3-4DD1-8878-65992F64EACE}"/>
            </a:ext>
          </a:extLst>
        </xdr:cNvPr>
        <xdr:cNvSpPr/>
      </xdr:nvSpPr>
      <xdr:spPr>
        <a:xfrm>
          <a:off x="4295775" y="590550"/>
          <a:ext cx="82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SPRINT 3</a:t>
          </a:r>
        </a:p>
      </xdr:txBody>
    </xdr:sp>
    <xdr:clientData/>
  </xdr:twoCellAnchor>
  <xdr:twoCellAnchor>
    <xdr:from>
      <xdr:col>4</xdr:col>
      <xdr:colOff>1095374</xdr:colOff>
      <xdr:row>0</xdr:row>
      <xdr:rowOff>9525</xdr:rowOff>
    </xdr:from>
    <xdr:to>
      <xdr:col>5</xdr:col>
      <xdr:colOff>1040924</xdr:colOff>
      <xdr:row>1</xdr:row>
      <xdr:rowOff>225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0D14D8-4F8A-4770-9F2D-EA83F8154C4B}"/>
            </a:ext>
          </a:extLst>
        </xdr:cNvPr>
        <xdr:cNvSpPr/>
      </xdr:nvSpPr>
      <xdr:spPr>
        <a:xfrm>
          <a:off x="7248524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0</xdr:row>
      <xdr:rowOff>9525</xdr:rowOff>
    </xdr:from>
    <xdr:to>
      <xdr:col>4</xdr:col>
      <xdr:colOff>736125</xdr:colOff>
      <xdr:row>1</xdr:row>
      <xdr:rowOff>225</xdr:rowOff>
    </xdr:to>
    <xdr:sp macro="" textlink="">
      <xdr:nvSpPr>
        <xdr:cNvPr id="7" name="Retângul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4689AE-5609-492A-87C2-FA0F1C18C20B}"/>
            </a:ext>
          </a:extLst>
        </xdr:cNvPr>
        <xdr:cNvSpPr/>
      </xdr:nvSpPr>
      <xdr:spPr>
        <a:xfrm>
          <a:off x="16859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857250</xdr:colOff>
      <xdr:row>0</xdr:row>
      <xdr:rowOff>9525</xdr:rowOff>
    </xdr:from>
    <xdr:to>
      <xdr:col>5</xdr:col>
      <xdr:colOff>926625</xdr:colOff>
      <xdr:row>1</xdr:row>
      <xdr:rowOff>225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441FF0-EC3D-4A87-837B-5F7BFFB195E5}"/>
            </a:ext>
          </a:extLst>
        </xdr:cNvPr>
        <xdr:cNvSpPr/>
      </xdr:nvSpPr>
      <xdr:spPr>
        <a:xfrm>
          <a:off x="30670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1057275</xdr:colOff>
      <xdr:row>0</xdr:row>
      <xdr:rowOff>9525</xdr:rowOff>
    </xdr:from>
    <xdr:to>
      <xdr:col>7</xdr:col>
      <xdr:colOff>155100</xdr:colOff>
      <xdr:row>1</xdr:row>
      <xdr:rowOff>225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D13226E-8580-4BEA-9147-82B5EB7B70EA}"/>
            </a:ext>
          </a:extLst>
        </xdr:cNvPr>
        <xdr:cNvSpPr/>
      </xdr:nvSpPr>
      <xdr:spPr>
        <a:xfrm>
          <a:off x="44577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7</xdr:col>
      <xdr:colOff>285750</xdr:colOff>
      <xdr:row>0</xdr:row>
      <xdr:rowOff>9525</xdr:rowOff>
    </xdr:from>
    <xdr:to>
      <xdr:col>9</xdr:col>
      <xdr:colOff>117000</xdr:colOff>
      <xdr:row>1</xdr:row>
      <xdr:rowOff>225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ECD52-C69B-46A0-8E91-8FF1A925D272}"/>
            </a:ext>
          </a:extLst>
        </xdr:cNvPr>
        <xdr:cNvSpPr/>
      </xdr:nvSpPr>
      <xdr:spPr>
        <a:xfrm>
          <a:off x="5848350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3</xdr:col>
      <xdr:colOff>219075</xdr:colOff>
      <xdr:row>1</xdr:row>
      <xdr:rowOff>95250</xdr:rowOff>
    </xdr:from>
    <xdr:to>
      <xdr:col>4</xdr:col>
      <xdr:colOff>435525</xdr:colOff>
      <xdr:row>2</xdr:row>
      <xdr:rowOff>2250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283B6EB-CD2B-4495-8D4C-150AE042EE99}"/>
            </a:ext>
          </a:extLst>
        </xdr:cNvPr>
        <xdr:cNvSpPr/>
      </xdr:nvSpPr>
      <xdr:spPr>
        <a:xfrm>
          <a:off x="1457325" y="590550"/>
          <a:ext cx="118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 0</a:t>
          </a:r>
        </a:p>
      </xdr:txBody>
    </xdr:sp>
    <xdr:clientData/>
  </xdr:twoCellAnchor>
  <xdr:twoCellAnchor>
    <xdr:from>
      <xdr:col>4</xdr:col>
      <xdr:colOff>552450</xdr:colOff>
      <xdr:row>1</xdr:row>
      <xdr:rowOff>95250</xdr:rowOff>
    </xdr:from>
    <xdr:to>
      <xdr:col>5</xdr:col>
      <xdr:colOff>549825</xdr:colOff>
      <xdr:row>2</xdr:row>
      <xdr:rowOff>2250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A05852-28B0-4626-A373-7D2F31115C24}"/>
            </a:ext>
          </a:extLst>
        </xdr:cNvPr>
        <xdr:cNvSpPr/>
      </xdr:nvSpPr>
      <xdr:spPr>
        <a:xfrm>
          <a:off x="2762250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1</a:t>
          </a:r>
        </a:p>
      </xdr:txBody>
    </xdr:sp>
    <xdr:clientData/>
  </xdr:twoCellAnchor>
  <xdr:twoCellAnchor>
    <xdr:from>
      <xdr:col>5</xdr:col>
      <xdr:colOff>666750</xdr:colOff>
      <xdr:row>1</xdr:row>
      <xdr:rowOff>95250</xdr:rowOff>
    </xdr:from>
    <xdr:to>
      <xdr:col>6</xdr:col>
      <xdr:colOff>740325</xdr:colOff>
      <xdr:row>2</xdr:row>
      <xdr:rowOff>2250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C885FEE-9836-43A6-B2AA-89B5613BE25B}"/>
            </a:ext>
          </a:extLst>
        </xdr:cNvPr>
        <xdr:cNvSpPr/>
      </xdr:nvSpPr>
      <xdr:spPr>
        <a:xfrm>
          <a:off x="4067175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2</a:t>
          </a:r>
        </a:p>
      </xdr:txBody>
    </xdr:sp>
    <xdr:clientData/>
  </xdr:twoCellAnchor>
  <xdr:twoCellAnchor>
    <xdr:from>
      <xdr:col>6</xdr:col>
      <xdr:colOff>857250</xdr:colOff>
      <xdr:row>1</xdr:row>
      <xdr:rowOff>95250</xdr:rowOff>
    </xdr:from>
    <xdr:to>
      <xdr:col>8</xdr:col>
      <xdr:colOff>283125</xdr:colOff>
      <xdr:row>2</xdr:row>
      <xdr:rowOff>2250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2F6F870-4CA3-4E56-9274-F2A99DB8014C}"/>
            </a:ext>
          </a:extLst>
        </xdr:cNvPr>
        <xdr:cNvSpPr/>
      </xdr:nvSpPr>
      <xdr:spPr>
        <a:xfrm>
          <a:off x="5372100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3</a:t>
          </a:r>
        </a:p>
      </xdr:txBody>
    </xdr:sp>
    <xdr:clientData/>
  </xdr:twoCellAnchor>
  <xdr:oneCellAnchor>
    <xdr:from>
      <xdr:col>8</xdr:col>
      <xdr:colOff>9525</xdr:colOff>
      <xdr:row>5</xdr:row>
      <xdr:rowOff>57150</xdr:rowOff>
    </xdr:from>
    <xdr:ext cx="6305550" cy="3533775"/>
    <xdr:graphicFrame macro="">
      <xdr:nvGraphicFramePr>
        <xdr:cNvPr id="19" name="Chart 1" title="Chart">
          <a:extLst>
            <a:ext uri="{FF2B5EF4-FFF2-40B4-BE49-F238E27FC236}">
              <a16:creationId xmlns:a16="http://schemas.microsoft.com/office/drawing/2014/main" id="{D1C39286-3472-4935-AA40-8ED0D585E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twoCellAnchor>
    <xdr:from>
      <xdr:col>9</xdr:col>
      <xdr:colOff>247650</xdr:colOff>
      <xdr:row>0</xdr:row>
      <xdr:rowOff>9525</xdr:rowOff>
    </xdr:from>
    <xdr:to>
      <xdr:col>10</xdr:col>
      <xdr:colOff>107475</xdr:colOff>
      <xdr:row>1</xdr:row>
      <xdr:rowOff>225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422A15A-0A58-432A-B33E-3B07B78D4E73}"/>
            </a:ext>
          </a:extLst>
        </xdr:cNvPr>
        <xdr:cNvSpPr/>
      </xdr:nvSpPr>
      <xdr:spPr>
        <a:xfrm>
          <a:off x="72390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9525</xdr:rowOff>
    </xdr:from>
    <xdr:to>
      <xdr:col>4</xdr:col>
      <xdr:colOff>745650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ABC30A-7CA4-4D35-BC9F-EE453AB4D6F6}"/>
            </a:ext>
          </a:extLst>
        </xdr:cNvPr>
        <xdr:cNvSpPr/>
      </xdr:nvSpPr>
      <xdr:spPr>
        <a:xfrm>
          <a:off x="16954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866775</xdr:colOff>
      <xdr:row>0</xdr:row>
      <xdr:rowOff>9525</xdr:rowOff>
    </xdr:from>
    <xdr:to>
      <xdr:col>5</xdr:col>
      <xdr:colOff>936150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9880E-AA91-4831-9024-00BDF4C299EA}"/>
            </a:ext>
          </a:extLst>
        </xdr:cNvPr>
        <xdr:cNvSpPr/>
      </xdr:nvSpPr>
      <xdr:spPr>
        <a:xfrm>
          <a:off x="307657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164625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31FB9E-956F-40EC-AD86-4BA6C86BD71A}"/>
            </a:ext>
          </a:extLst>
        </xdr:cNvPr>
        <xdr:cNvSpPr/>
      </xdr:nvSpPr>
      <xdr:spPr>
        <a:xfrm>
          <a:off x="44672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7</xdr:col>
      <xdr:colOff>295275</xdr:colOff>
      <xdr:row>0</xdr:row>
      <xdr:rowOff>9525</xdr:rowOff>
    </xdr:from>
    <xdr:to>
      <xdr:col>9</xdr:col>
      <xdr:colOff>126525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86C407-C394-45F3-B3DC-881B72924659}"/>
            </a:ext>
          </a:extLst>
        </xdr:cNvPr>
        <xdr:cNvSpPr/>
      </xdr:nvSpPr>
      <xdr:spPr>
        <a:xfrm>
          <a:off x="5857875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3</xdr:col>
      <xdr:colOff>228600</xdr:colOff>
      <xdr:row>1</xdr:row>
      <xdr:rowOff>95250</xdr:rowOff>
    </xdr:from>
    <xdr:to>
      <xdr:col>4</xdr:col>
      <xdr:colOff>445050</xdr:colOff>
      <xdr:row>2</xdr:row>
      <xdr:rowOff>2250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4953424-89A2-487A-93D6-5957D989FCA4}"/>
            </a:ext>
          </a:extLst>
        </xdr:cNvPr>
        <xdr:cNvSpPr/>
      </xdr:nvSpPr>
      <xdr:spPr>
        <a:xfrm>
          <a:off x="1466850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0</a:t>
          </a:r>
        </a:p>
      </xdr:txBody>
    </xdr:sp>
    <xdr:clientData/>
  </xdr:twoCellAnchor>
  <xdr:twoCellAnchor>
    <xdr:from>
      <xdr:col>4</xdr:col>
      <xdr:colOff>561975</xdr:colOff>
      <xdr:row>1</xdr:row>
      <xdr:rowOff>95250</xdr:rowOff>
    </xdr:from>
    <xdr:to>
      <xdr:col>5</xdr:col>
      <xdr:colOff>559350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CFC074-02BE-4EA9-A038-F9AE46B98F6F}"/>
            </a:ext>
          </a:extLst>
        </xdr:cNvPr>
        <xdr:cNvSpPr/>
      </xdr:nvSpPr>
      <xdr:spPr>
        <a:xfrm>
          <a:off x="2771775" y="590550"/>
          <a:ext cx="118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 1</a:t>
          </a:r>
        </a:p>
      </xdr:txBody>
    </xdr:sp>
    <xdr:clientData/>
  </xdr:twoCellAnchor>
  <xdr:twoCellAnchor>
    <xdr:from>
      <xdr:col>5</xdr:col>
      <xdr:colOff>676275</xdr:colOff>
      <xdr:row>1</xdr:row>
      <xdr:rowOff>95250</xdr:rowOff>
    </xdr:from>
    <xdr:to>
      <xdr:col>6</xdr:col>
      <xdr:colOff>749850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528C874-3279-4815-9BFC-2F697D8C52D9}"/>
            </a:ext>
          </a:extLst>
        </xdr:cNvPr>
        <xdr:cNvSpPr/>
      </xdr:nvSpPr>
      <xdr:spPr>
        <a:xfrm>
          <a:off x="4076700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2</a:t>
          </a:r>
        </a:p>
      </xdr:txBody>
    </xdr:sp>
    <xdr:clientData/>
  </xdr:twoCellAnchor>
  <xdr:twoCellAnchor>
    <xdr:from>
      <xdr:col>6</xdr:col>
      <xdr:colOff>866775</xdr:colOff>
      <xdr:row>1</xdr:row>
      <xdr:rowOff>95250</xdr:rowOff>
    </xdr:from>
    <xdr:to>
      <xdr:col>8</xdr:col>
      <xdr:colOff>292650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0E6A953-199C-4899-A2EC-507B1F657A08}"/>
            </a:ext>
          </a:extLst>
        </xdr:cNvPr>
        <xdr:cNvSpPr/>
      </xdr:nvSpPr>
      <xdr:spPr>
        <a:xfrm>
          <a:off x="5381625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3</a:t>
          </a:r>
        </a:p>
      </xdr:txBody>
    </xdr:sp>
    <xdr:clientData/>
  </xdr:twoCellAnchor>
  <xdr:oneCellAnchor>
    <xdr:from>
      <xdr:col>8</xdr:col>
      <xdr:colOff>9525</xdr:colOff>
      <xdr:row>4</xdr:row>
      <xdr:rowOff>66675</xdr:rowOff>
    </xdr:from>
    <xdr:ext cx="6305550" cy="3533775"/>
    <xdr:graphicFrame macro="">
      <xdr:nvGraphicFramePr>
        <xdr:cNvPr id="10" name="Chart 1" title="Chart">
          <a:extLst>
            <a:ext uri="{FF2B5EF4-FFF2-40B4-BE49-F238E27FC236}">
              <a16:creationId xmlns:a16="http://schemas.microsoft.com/office/drawing/2014/main" id="{530CBCC1-7200-4158-AF8F-867FAFD11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twoCellAnchor>
    <xdr:from>
      <xdr:col>9</xdr:col>
      <xdr:colOff>257175</xdr:colOff>
      <xdr:row>0</xdr:row>
      <xdr:rowOff>9525</xdr:rowOff>
    </xdr:from>
    <xdr:to>
      <xdr:col>10</xdr:col>
      <xdr:colOff>117000</xdr:colOff>
      <xdr:row>1</xdr:row>
      <xdr:rowOff>225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304524-F390-40D9-AE72-13E50B3DB45D}"/>
            </a:ext>
          </a:extLst>
        </xdr:cNvPr>
        <xdr:cNvSpPr/>
      </xdr:nvSpPr>
      <xdr:spPr>
        <a:xfrm>
          <a:off x="72485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0</xdr:row>
      <xdr:rowOff>9525</xdr:rowOff>
    </xdr:from>
    <xdr:to>
      <xdr:col>4</xdr:col>
      <xdr:colOff>736125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5404DC-32FF-499E-830B-38D47C91182A}"/>
            </a:ext>
          </a:extLst>
        </xdr:cNvPr>
        <xdr:cNvSpPr/>
      </xdr:nvSpPr>
      <xdr:spPr>
        <a:xfrm>
          <a:off x="16859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866775</xdr:colOff>
      <xdr:row>0</xdr:row>
      <xdr:rowOff>9525</xdr:rowOff>
    </xdr:from>
    <xdr:to>
      <xdr:col>5</xdr:col>
      <xdr:colOff>936150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666490-10CD-4DDF-814B-E8FC234A022B}"/>
            </a:ext>
          </a:extLst>
        </xdr:cNvPr>
        <xdr:cNvSpPr/>
      </xdr:nvSpPr>
      <xdr:spPr>
        <a:xfrm>
          <a:off x="307657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1076325</xdr:colOff>
      <xdr:row>0</xdr:row>
      <xdr:rowOff>9525</xdr:rowOff>
    </xdr:from>
    <xdr:to>
      <xdr:col>7</xdr:col>
      <xdr:colOff>174150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8D01AD-5D4A-450E-8953-E7A753A4220A}"/>
            </a:ext>
          </a:extLst>
        </xdr:cNvPr>
        <xdr:cNvSpPr/>
      </xdr:nvSpPr>
      <xdr:spPr>
        <a:xfrm>
          <a:off x="44767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7</xdr:col>
      <xdr:colOff>295275</xdr:colOff>
      <xdr:row>0</xdr:row>
      <xdr:rowOff>9525</xdr:rowOff>
    </xdr:from>
    <xdr:to>
      <xdr:col>9</xdr:col>
      <xdr:colOff>126525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FDF957-D193-42F9-BE5F-519600DCDAA5}"/>
            </a:ext>
          </a:extLst>
        </xdr:cNvPr>
        <xdr:cNvSpPr/>
      </xdr:nvSpPr>
      <xdr:spPr>
        <a:xfrm>
          <a:off x="5857875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3</xdr:col>
      <xdr:colOff>228600</xdr:colOff>
      <xdr:row>1</xdr:row>
      <xdr:rowOff>95250</xdr:rowOff>
    </xdr:from>
    <xdr:to>
      <xdr:col>4</xdr:col>
      <xdr:colOff>445050</xdr:colOff>
      <xdr:row>2</xdr:row>
      <xdr:rowOff>2250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1E2B70-D1F3-4FDF-9495-2E7ED92D57CC}"/>
            </a:ext>
          </a:extLst>
        </xdr:cNvPr>
        <xdr:cNvSpPr/>
      </xdr:nvSpPr>
      <xdr:spPr>
        <a:xfrm>
          <a:off x="1466850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0</a:t>
          </a:r>
        </a:p>
      </xdr:txBody>
    </xdr:sp>
    <xdr:clientData/>
  </xdr:twoCellAnchor>
  <xdr:twoCellAnchor>
    <xdr:from>
      <xdr:col>4</xdr:col>
      <xdr:colOff>561975</xdr:colOff>
      <xdr:row>1</xdr:row>
      <xdr:rowOff>95250</xdr:rowOff>
    </xdr:from>
    <xdr:to>
      <xdr:col>5</xdr:col>
      <xdr:colOff>559350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0DE1274-B8B3-46B7-BBDF-3EA013D033C3}"/>
            </a:ext>
          </a:extLst>
        </xdr:cNvPr>
        <xdr:cNvSpPr/>
      </xdr:nvSpPr>
      <xdr:spPr>
        <a:xfrm>
          <a:off x="2771775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1</a:t>
          </a:r>
        </a:p>
      </xdr:txBody>
    </xdr:sp>
    <xdr:clientData/>
  </xdr:twoCellAnchor>
  <xdr:twoCellAnchor>
    <xdr:from>
      <xdr:col>5</xdr:col>
      <xdr:colOff>685800</xdr:colOff>
      <xdr:row>1</xdr:row>
      <xdr:rowOff>95250</xdr:rowOff>
    </xdr:from>
    <xdr:to>
      <xdr:col>6</xdr:col>
      <xdr:colOff>759375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A5951FB-A63A-457E-9E47-376A2112B0F8}"/>
            </a:ext>
          </a:extLst>
        </xdr:cNvPr>
        <xdr:cNvSpPr/>
      </xdr:nvSpPr>
      <xdr:spPr>
        <a:xfrm>
          <a:off x="4086225" y="590550"/>
          <a:ext cx="118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 2</a:t>
          </a:r>
        </a:p>
      </xdr:txBody>
    </xdr:sp>
    <xdr:clientData/>
  </xdr:twoCellAnchor>
  <xdr:twoCellAnchor>
    <xdr:from>
      <xdr:col>6</xdr:col>
      <xdr:colOff>876300</xdr:colOff>
      <xdr:row>1</xdr:row>
      <xdr:rowOff>95250</xdr:rowOff>
    </xdr:from>
    <xdr:to>
      <xdr:col>8</xdr:col>
      <xdr:colOff>302175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28882D1-3954-4536-A4CC-E26FE9EE6CE3}"/>
            </a:ext>
          </a:extLst>
        </xdr:cNvPr>
        <xdr:cNvSpPr/>
      </xdr:nvSpPr>
      <xdr:spPr>
        <a:xfrm>
          <a:off x="5391150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3</a:t>
          </a:r>
        </a:p>
      </xdr:txBody>
    </xdr:sp>
    <xdr:clientData/>
  </xdr:twoCellAnchor>
  <xdr:oneCellAnchor>
    <xdr:from>
      <xdr:col>8</xdr:col>
      <xdr:colOff>9525</xdr:colOff>
      <xdr:row>5</xdr:row>
      <xdr:rowOff>57150</xdr:rowOff>
    </xdr:from>
    <xdr:ext cx="6305550" cy="3533775"/>
    <xdr:graphicFrame macro="">
      <xdr:nvGraphicFramePr>
        <xdr:cNvPr id="10" name="Chart 1" title="Chart">
          <a:extLst>
            <a:ext uri="{FF2B5EF4-FFF2-40B4-BE49-F238E27FC236}">
              <a16:creationId xmlns:a16="http://schemas.microsoft.com/office/drawing/2014/main" id="{A27293DD-89E1-4DBF-ACC5-F00603FF9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twoCellAnchor>
    <xdr:from>
      <xdr:col>9</xdr:col>
      <xdr:colOff>247650</xdr:colOff>
      <xdr:row>0</xdr:row>
      <xdr:rowOff>9525</xdr:rowOff>
    </xdr:from>
    <xdr:to>
      <xdr:col>10</xdr:col>
      <xdr:colOff>107475</xdr:colOff>
      <xdr:row>1</xdr:row>
      <xdr:rowOff>225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D08037-B5DF-4FA1-90EA-07E1CDC8A7D4}"/>
            </a:ext>
          </a:extLst>
        </xdr:cNvPr>
        <xdr:cNvSpPr/>
      </xdr:nvSpPr>
      <xdr:spPr>
        <a:xfrm>
          <a:off x="72390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9525</xdr:rowOff>
    </xdr:from>
    <xdr:to>
      <xdr:col>4</xdr:col>
      <xdr:colOff>745650</xdr:colOff>
      <xdr:row>1</xdr:row>
      <xdr:rowOff>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654037-E082-4A48-81E5-52577F6A3F1D}"/>
            </a:ext>
          </a:extLst>
        </xdr:cNvPr>
        <xdr:cNvSpPr/>
      </xdr:nvSpPr>
      <xdr:spPr>
        <a:xfrm>
          <a:off x="16954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876300</xdr:colOff>
      <xdr:row>0</xdr:row>
      <xdr:rowOff>9525</xdr:rowOff>
    </xdr:from>
    <xdr:to>
      <xdr:col>5</xdr:col>
      <xdr:colOff>945675</xdr:colOff>
      <xdr:row>1</xdr:row>
      <xdr:rowOff>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645BF88-0815-4CC8-92A3-49C10BB54DC3}"/>
            </a:ext>
          </a:extLst>
        </xdr:cNvPr>
        <xdr:cNvSpPr/>
      </xdr:nvSpPr>
      <xdr:spPr>
        <a:xfrm>
          <a:off x="308610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164625</xdr:colOff>
      <xdr:row>1</xdr:row>
      <xdr:rowOff>225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613D45-F682-4E4F-A6B9-A36D7658DA9F}"/>
            </a:ext>
          </a:extLst>
        </xdr:cNvPr>
        <xdr:cNvSpPr/>
      </xdr:nvSpPr>
      <xdr:spPr>
        <a:xfrm>
          <a:off x="4467225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7</xdr:col>
      <xdr:colOff>295275</xdr:colOff>
      <xdr:row>0</xdr:row>
      <xdr:rowOff>9525</xdr:rowOff>
    </xdr:from>
    <xdr:to>
      <xdr:col>9</xdr:col>
      <xdr:colOff>126525</xdr:colOff>
      <xdr:row>1</xdr:row>
      <xdr:rowOff>225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379FC6-F789-4B30-99D3-B546F6EEE529}"/>
            </a:ext>
          </a:extLst>
        </xdr:cNvPr>
        <xdr:cNvSpPr/>
      </xdr:nvSpPr>
      <xdr:spPr>
        <a:xfrm>
          <a:off x="5857875" y="9525"/>
          <a:ext cx="1260000" cy="486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3</xdr:col>
      <xdr:colOff>238125</xdr:colOff>
      <xdr:row>1</xdr:row>
      <xdr:rowOff>95250</xdr:rowOff>
    </xdr:from>
    <xdr:to>
      <xdr:col>4</xdr:col>
      <xdr:colOff>454575</xdr:colOff>
      <xdr:row>2</xdr:row>
      <xdr:rowOff>2250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B3A6EC3-3D23-4D53-896D-33EBE65B7ADE}"/>
            </a:ext>
          </a:extLst>
        </xdr:cNvPr>
        <xdr:cNvSpPr/>
      </xdr:nvSpPr>
      <xdr:spPr>
        <a:xfrm>
          <a:off x="1476375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0</a:t>
          </a:r>
        </a:p>
      </xdr:txBody>
    </xdr:sp>
    <xdr:clientData/>
  </xdr:twoCellAnchor>
  <xdr:twoCellAnchor>
    <xdr:from>
      <xdr:col>4</xdr:col>
      <xdr:colOff>571500</xdr:colOff>
      <xdr:row>1</xdr:row>
      <xdr:rowOff>95250</xdr:rowOff>
    </xdr:from>
    <xdr:to>
      <xdr:col>5</xdr:col>
      <xdr:colOff>568875</xdr:colOff>
      <xdr:row>2</xdr:row>
      <xdr:rowOff>2250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86A44B-4CB8-4755-B709-A7338CDFB951}"/>
            </a:ext>
          </a:extLst>
        </xdr:cNvPr>
        <xdr:cNvSpPr/>
      </xdr:nvSpPr>
      <xdr:spPr>
        <a:xfrm>
          <a:off x="2781300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1</a:t>
          </a:r>
        </a:p>
      </xdr:txBody>
    </xdr:sp>
    <xdr:clientData/>
  </xdr:twoCellAnchor>
  <xdr:twoCellAnchor>
    <xdr:from>
      <xdr:col>5</xdr:col>
      <xdr:colOff>685800</xdr:colOff>
      <xdr:row>1</xdr:row>
      <xdr:rowOff>95250</xdr:rowOff>
    </xdr:from>
    <xdr:to>
      <xdr:col>6</xdr:col>
      <xdr:colOff>759375</xdr:colOff>
      <xdr:row>2</xdr:row>
      <xdr:rowOff>2250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19E40DB-6209-4EB4-8199-1ECAC692A1BC}"/>
            </a:ext>
          </a:extLst>
        </xdr:cNvPr>
        <xdr:cNvSpPr/>
      </xdr:nvSpPr>
      <xdr:spPr>
        <a:xfrm>
          <a:off x="4086225" y="590550"/>
          <a:ext cx="1188000" cy="2880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 2</a:t>
          </a:r>
        </a:p>
      </xdr:txBody>
    </xdr:sp>
    <xdr:clientData/>
  </xdr:twoCellAnchor>
  <xdr:twoCellAnchor>
    <xdr:from>
      <xdr:col>6</xdr:col>
      <xdr:colOff>876300</xdr:colOff>
      <xdr:row>1</xdr:row>
      <xdr:rowOff>95250</xdr:rowOff>
    </xdr:from>
    <xdr:to>
      <xdr:col>8</xdr:col>
      <xdr:colOff>302175</xdr:colOff>
      <xdr:row>2</xdr:row>
      <xdr:rowOff>2250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76E1BEE-2A16-411D-A118-82126EAD862E}"/>
            </a:ext>
          </a:extLst>
        </xdr:cNvPr>
        <xdr:cNvSpPr/>
      </xdr:nvSpPr>
      <xdr:spPr>
        <a:xfrm>
          <a:off x="5391150" y="590550"/>
          <a:ext cx="1188000" cy="288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 3</a:t>
          </a:r>
        </a:p>
      </xdr:txBody>
    </xdr:sp>
    <xdr:clientData/>
  </xdr:twoCellAnchor>
  <xdr:oneCellAnchor>
    <xdr:from>
      <xdr:col>8</xdr:col>
      <xdr:colOff>9525</xdr:colOff>
      <xdr:row>5</xdr:row>
      <xdr:rowOff>57150</xdr:rowOff>
    </xdr:from>
    <xdr:ext cx="6305550" cy="3533775"/>
    <xdr:graphicFrame macro="">
      <xdr:nvGraphicFramePr>
        <xdr:cNvPr id="10" name="Chart 1" title="Chart">
          <a:extLst>
            <a:ext uri="{FF2B5EF4-FFF2-40B4-BE49-F238E27FC236}">
              <a16:creationId xmlns:a16="http://schemas.microsoft.com/office/drawing/2014/main" id="{382E6D51-701D-45F6-8D12-FAEF0B7D2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twoCellAnchor>
    <xdr:from>
      <xdr:col>9</xdr:col>
      <xdr:colOff>266700</xdr:colOff>
      <xdr:row>0</xdr:row>
      <xdr:rowOff>9525</xdr:rowOff>
    </xdr:from>
    <xdr:to>
      <xdr:col>10</xdr:col>
      <xdr:colOff>126525</xdr:colOff>
      <xdr:row>1</xdr:row>
      <xdr:rowOff>225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9252D4F-CC18-42EF-A8EF-C3216140D0E3}"/>
            </a:ext>
          </a:extLst>
        </xdr:cNvPr>
        <xdr:cNvSpPr/>
      </xdr:nvSpPr>
      <xdr:spPr>
        <a:xfrm>
          <a:off x="7258050" y="9525"/>
          <a:ext cx="1260000" cy="48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1438275</xdr:colOff>
      <xdr:row>0</xdr:row>
      <xdr:rowOff>0</xdr:rowOff>
    </xdr:from>
    <xdr:to>
      <xdr:col>4</xdr:col>
      <xdr:colOff>352425</xdr:colOff>
      <xdr:row>1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29F0F3-7B5D-4721-9025-C81C186523AC}"/>
            </a:ext>
          </a:extLst>
        </xdr:cNvPr>
        <xdr:cNvSpPr/>
      </xdr:nvSpPr>
      <xdr:spPr>
        <a:xfrm>
          <a:off x="1685925" y="0"/>
          <a:ext cx="1409700" cy="495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485775</xdr:colOff>
      <xdr:row>0</xdr:row>
      <xdr:rowOff>0</xdr:rowOff>
    </xdr:from>
    <xdr:to>
      <xdr:col>6</xdr:col>
      <xdr:colOff>76200</xdr:colOff>
      <xdr:row>1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C15D3E-D21E-44FE-AE1B-0352E9F703A8}"/>
            </a:ext>
          </a:extLst>
        </xdr:cNvPr>
        <xdr:cNvSpPr/>
      </xdr:nvSpPr>
      <xdr:spPr>
        <a:xfrm>
          <a:off x="3228975" y="0"/>
          <a:ext cx="1409700" cy="4953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209550</xdr:colOff>
      <xdr:row>0</xdr:row>
      <xdr:rowOff>0</xdr:rowOff>
    </xdr:from>
    <xdr:to>
      <xdr:col>7</xdr:col>
      <xdr:colOff>828675</xdr:colOff>
      <xdr:row>1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DC3DBC-FF4F-442A-8EE1-D0E3765D0E93}"/>
            </a:ext>
          </a:extLst>
        </xdr:cNvPr>
        <xdr:cNvSpPr/>
      </xdr:nvSpPr>
      <xdr:spPr>
        <a:xfrm>
          <a:off x="4772025" y="0"/>
          <a:ext cx="1409700" cy="495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SPRINTS</a:t>
          </a:r>
        </a:p>
      </xdr:txBody>
    </xdr:sp>
    <xdr:clientData/>
  </xdr:twoCellAnchor>
  <xdr:twoCellAnchor>
    <xdr:from>
      <xdr:col>7</xdr:col>
      <xdr:colOff>952500</xdr:colOff>
      <xdr:row>0</xdr:row>
      <xdr:rowOff>0</xdr:rowOff>
    </xdr:from>
    <xdr:to>
      <xdr:col>8</xdr:col>
      <xdr:colOff>981075</xdr:colOff>
      <xdr:row>1</xdr:row>
      <xdr:rowOff>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2396529-9D3F-4274-9195-B95C515AFB1A}"/>
            </a:ext>
          </a:extLst>
        </xdr:cNvPr>
        <xdr:cNvSpPr/>
      </xdr:nvSpPr>
      <xdr:spPr>
        <a:xfrm>
          <a:off x="6305550" y="0"/>
          <a:ext cx="1409700" cy="495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2</xdr:col>
      <xdr:colOff>1200150</xdr:colOff>
      <xdr:row>1</xdr:row>
      <xdr:rowOff>85725</xdr:rowOff>
    </xdr:from>
    <xdr:to>
      <xdr:col>3</xdr:col>
      <xdr:colOff>514350</xdr:colOff>
      <xdr:row>2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C862E-431F-4DEF-9618-D429E7DF7855}"/>
            </a:ext>
          </a:extLst>
        </xdr:cNvPr>
        <xdr:cNvSpPr/>
      </xdr:nvSpPr>
      <xdr:spPr>
        <a:xfrm>
          <a:off x="1447800" y="581025"/>
          <a:ext cx="971550" cy="2952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628650</xdr:colOff>
      <xdr:row>1</xdr:row>
      <xdr:rowOff>85725</xdr:rowOff>
    </xdr:from>
    <xdr:to>
      <xdr:col>4</xdr:col>
      <xdr:colOff>762000</xdr:colOff>
      <xdr:row>2</xdr:row>
      <xdr:rowOff>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579FB6-BB25-41CA-A89F-D1A662487FAB}"/>
            </a:ext>
          </a:extLst>
        </xdr:cNvPr>
        <xdr:cNvSpPr/>
      </xdr:nvSpPr>
      <xdr:spPr>
        <a:xfrm>
          <a:off x="2533650" y="581025"/>
          <a:ext cx="971550" cy="29527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</a:t>
          </a:r>
        </a:p>
      </xdr:txBody>
    </xdr:sp>
    <xdr:clientData/>
  </xdr:twoCellAnchor>
  <xdr:twoCellAnchor>
    <xdr:from>
      <xdr:col>4</xdr:col>
      <xdr:colOff>876300</xdr:colOff>
      <xdr:row>1</xdr:row>
      <xdr:rowOff>85725</xdr:rowOff>
    </xdr:from>
    <xdr:to>
      <xdr:col>6</xdr:col>
      <xdr:colOff>28575</xdr:colOff>
      <xdr:row>2</xdr:row>
      <xdr:rowOff>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0947890-14ED-4309-B910-383388DAEDCA}"/>
            </a:ext>
          </a:extLst>
        </xdr:cNvPr>
        <xdr:cNvSpPr/>
      </xdr:nvSpPr>
      <xdr:spPr>
        <a:xfrm>
          <a:off x="3619500" y="581025"/>
          <a:ext cx="971550" cy="29527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BACKLOG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ago silva" refreshedDate="44119.995589930557" createdVersion="6" refreshedVersion="6" minRefreshableVersion="3" recordCount="20" xr:uid="{BFEBA7A9-96F2-4A2E-BACF-586F7717D7BA}">
  <cacheSource type="worksheet">
    <worksheetSource name="Tabela8"/>
  </cacheSource>
  <cacheFields count="7">
    <cacheField name="Funcionalidade" numFmtId="0">
      <sharedItems containsBlank="1" count="4">
        <s v="Conteúdo (Inglês PDF- Teoria) "/>
        <s v="Formas de pagamento"/>
        <s v="Layout do contato"/>
        <m/>
      </sharedItems>
    </cacheField>
    <cacheField name="Descrição" numFmtId="0">
      <sharedItems containsBlank="1"/>
    </cacheField>
    <cacheField name="Responsável" numFmtId="0">
      <sharedItems containsBlank="1" count="4">
        <s v="Letícia Salles"/>
        <s v="Leonardo Ribeiro"/>
        <s v="Matheus Emboaba"/>
        <m/>
      </sharedItems>
    </cacheField>
    <cacheField name="Status" numFmtId="0">
      <sharedItems containsBlank="1" count="3">
        <s v="Iniciado"/>
        <s v="Interrompido"/>
        <m/>
      </sharedItems>
    </cacheField>
    <cacheField name="Tempo Estimável (h)" numFmtId="0">
      <sharedItems containsString="0" containsBlank="1" containsNumber="1" containsInteger="1" minValue="20" maxValue="50"/>
    </cacheField>
    <cacheField name="Data Início" numFmtId="14">
      <sharedItems containsNonDate="0" containsDate="1" containsString="0" containsBlank="1" minDate="2020-09-08T00:00:00" maxDate="2020-09-11T00:00:00"/>
    </cacheField>
    <cacheField name="Data Término" numFmtId="14">
      <sharedItems containsNonDate="0" containsDate="1" containsString="0" containsBlank="1" minDate="2020-09-10T00:00:00" maxDate="2020-09-1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ago silva" refreshedDate="44120.548015624998" createdVersion="6" refreshedVersion="6" minRefreshableVersion="3" recordCount="20" xr:uid="{1092A235-9E78-4632-BB25-8B3C9A9D41CB}">
  <cacheSource type="worksheet">
    <worksheetSource name="Tabela845"/>
  </cacheSource>
  <cacheFields count="7">
    <cacheField name="Funcionalidade" numFmtId="0">
      <sharedItems containsBlank="1"/>
    </cacheField>
    <cacheField name="Descrição" numFmtId="0">
      <sharedItems containsBlank="1"/>
    </cacheField>
    <cacheField name="Responsável" numFmtId="0">
      <sharedItems containsBlank="1" count="3">
        <s v="Letícia Salles"/>
        <s v="Leonardo Ribeiro"/>
        <m/>
      </sharedItems>
    </cacheField>
    <cacheField name="Status" numFmtId="0">
      <sharedItems containsBlank="1" count="2">
        <s v="Iniciado"/>
        <m/>
      </sharedItems>
    </cacheField>
    <cacheField name="Tempo Estimável (h)" numFmtId="0">
      <sharedItems containsString="0" containsBlank="1" containsNumber="1" containsInteger="1" minValue="30" maxValue="50"/>
    </cacheField>
    <cacheField name="Data Início" numFmtId="14">
      <sharedItems containsNonDate="0" containsString="0" containsBlank="1"/>
    </cacheField>
    <cacheField name="Data Términ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ago silva" refreshedDate="44120.548341319445" createdVersion="6" refreshedVersion="6" minRefreshableVersion="3" recordCount="20" xr:uid="{195E36B5-803A-4D4F-B72E-D8024BE53CB7}">
  <cacheSource type="worksheet">
    <worksheetSource name="Tabela8456"/>
  </cacheSource>
  <cacheFields count="7">
    <cacheField name="Funcionalidade" numFmtId="0">
      <sharedItems containsBlank="1"/>
    </cacheField>
    <cacheField name="Descrição" numFmtId="0">
      <sharedItems containsBlank="1"/>
    </cacheField>
    <cacheField name="Responsável" numFmtId="0">
      <sharedItems containsBlank="1" count="3">
        <s v="Letícia Salles"/>
        <s v="Leonardo Ribeiro"/>
        <m/>
      </sharedItems>
    </cacheField>
    <cacheField name="Status" numFmtId="0">
      <sharedItems containsBlank="1" count="2">
        <s v="Iniciado"/>
        <m/>
      </sharedItems>
    </cacheField>
    <cacheField name="Tempo Estimável (h)" numFmtId="0">
      <sharedItems containsString="0" containsBlank="1" containsNumber="1" containsInteger="1" minValue="30" maxValue="50"/>
    </cacheField>
    <cacheField name="Data Início" numFmtId="14">
      <sharedItems containsNonDate="0" containsString="0" containsBlank="1"/>
    </cacheField>
    <cacheField name="Data Términ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ago silva" refreshedDate="44120.978146527777" createdVersion="6" refreshedVersion="6" minRefreshableVersion="3" recordCount="20" xr:uid="{46040491-CC13-4EDB-8DBE-D753B2A94C57}">
  <cacheSource type="worksheet">
    <worksheetSource name="Tabela84"/>
  </cacheSource>
  <cacheFields count="7">
    <cacheField name="Funcionalidade" numFmtId="0">
      <sharedItems containsBlank="1"/>
    </cacheField>
    <cacheField name="Descrição" numFmtId="0">
      <sharedItems containsBlank="1"/>
    </cacheField>
    <cacheField name="Responsável" numFmtId="0">
      <sharedItems containsBlank="1" count="8">
        <s v="Guilherme Leite"/>
        <s v="Letícia Salles"/>
        <s v="Leonardo Ribeiro"/>
        <s v="Matheus Emboaba"/>
        <s v="Patrícia Ciliato"/>
        <s v="Thiago Silva"/>
        <s v="Daniela Meirelles"/>
        <m/>
      </sharedItems>
    </cacheField>
    <cacheField name="Status" numFmtId="0">
      <sharedItems containsBlank="1" count="4">
        <s v="Em andamento"/>
        <s v="Concluído"/>
        <m/>
        <s v="Iniciado" u="1"/>
      </sharedItems>
    </cacheField>
    <cacheField name="Tempo Estimável (h)" numFmtId="0">
      <sharedItems containsString="0" containsBlank="1" containsNumber="1" containsInteger="1" minValue="2" maxValue="20"/>
    </cacheField>
    <cacheField name="Data Início" numFmtId="14">
      <sharedItems containsNonDate="0" containsDate="1" containsString="0" containsBlank="1" minDate="2020-09-30T00:00:00" maxDate="2020-10-16T00:00:00"/>
    </cacheField>
    <cacheField name="Data Término" numFmtId="14">
      <sharedItems containsNonDate="0" containsDate="1" containsString="0" containsBlank="1" minDate="2020-10-14T00:00:00" maxDate="2020-10-1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Criar txt sobre o assunto, pesquisar e depois fazer em PNG"/>
    <x v="0"/>
    <x v="0"/>
    <n v="30"/>
    <d v="2020-09-10T00:00:00"/>
    <d v="2020-09-12T00:00:00"/>
  </r>
  <r>
    <x v="1"/>
    <s v="Quais as formas de pagamento para programar"/>
    <x v="1"/>
    <x v="0"/>
    <n v="50"/>
    <d v="2020-09-09T00:00:00"/>
    <d v="2020-09-11T00:00:00"/>
  </r>
  <r>
    <x v="2"/>
    <s v="Criar layout do contato"/>
    <x v="2"/>
    <x v="1"/>
    <n v="20"/>
    <d v="2020-09-08T00:00:00"/>
    <d v="2020-09-10T00:00:00"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  <r>
    <x v="3"/>
    <m/>
    <x v="3"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Conteúdo (Inglês PDF- Teoria) "/>
    <s v="Criar txt sobre o assunto, pesquisar e depois fazer em PNG"/>
    <x v="0"/>
    <x v="0"/>
    <n v="30"/>
    <m/>
    <m/>
  </r>
  <r>
    <s v="Formas de pagamento"/>
    <s v="Quais as formas de pagamento para programar"/>
    <x v="1"/>
    <x v="0"/>
    <n v="50"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Conteúdo (Inglês PDF- Teoria) "/>
    <s v="Criar txt sobre o assunto, pesquisar e depois fazer em PNG"/>
    <x v="0"/>
    <x v="0"/>
    <n v="30"/>
    <m/>
    <m/>
  </r>
  <r>
    <s v="Formas de pagamento"/>
    <s v="Quais as formas de pagamento para programar"/>
    <x v="1"/>
    <x v="0"/>
    <n v="50"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  <r>
    <m/>
    <m/>
    <x v="2"/>
    <x v="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Atualização da Sprint 1 no GitHub"/>
    <s v="Descrição da sprint 1, upload das imagens dos conteúdos, ajustes gerais."/>
    <x v="0"/>
    <x v="0"/>
    <n v="2"/>
    <d v="2020-10-12T00:00:00"/>
    <d v="2020-10-16T00:00:00"/>
  </r>
  <r>
    <s v="Atualização da Sprint 1 no GitHub"/>
    <s v="Descrição da sprint 1, upload das imagens dos conteúdos, ajustes gerais."/>
    <x v="1"/>
    <x v="0"/>
    <n v="2"/>
    <d v="2020-10-12T00:00:00"/>
    <d v="2020-10-16T00:00:00"/>
  </r>
  <r>
    <s v="Funções do Carrinho de Compras"/>
    <s v="Funções em PHP para a interação, armazenamento e realocação dos itens do carrinho de compras."/>
    <x v="2"/>
    <x v="0"/>
    <n v="10"/>
    <d v="2020-10-15T00:00:00"/>
    <d v="2020-10-16T00:00:00"/>
  </r>
  <r>
    <s v="ROI"/>
    <s v="Pesquisa e criação do ROI"/>
    <x v="3"/>
    <x v="1"/>
    <n v="4"/>
    <d v="2020-10-15T00:00:00"/>
    <d v="2020-10-16T00:00:00"/>
  </r>
  <r>
    <s v="ROI"/>
    <s v="Pesquisa e criação do ROI"/>
    <x v="4"/>
    <x v="1"/>
    <n v="4"/>
    <d v="2020-10-15T00:00:00"/>
    <d v="2020-10-16T00:00:00"/>
  </r>
  <r>
    <s v="Método Scrum no Excel"/>
    <s v="Elaboração da Planinha Método Scrum, definido no Sprint Planning (sprint 1)."/>
    <x v="5"/>
    <x v="1"/>
    <n v="20"/>
    <d v="2020-10-13T00:00:00"/>
    <d v="2020-10-16T00:00:00"/>
  </r>
  <r>
    <s v="Linha do Tempo"/>
    <s v="Elaboração da linha do tempo das sprints, no power point"/>
    <x v="6"/>
    <x v="1"/>
    <n v="2"/>
    <d v="2020-10-14T00:00:00"/>
    <d v="2020-10-14T00:00:00"/>
  </r>
  <r>
    <s v="Plano de Negócio"/>
    <s v="Plano de Negócio"/>
    <x v="0"/>
    <x v="0"/>
    <n v="10"/>
    <d v="2020-09-30T00:00:00"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  <r>
    <m/>
    <m/>
    <x v="7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03CD9C-C384-4D15-ABB3-E6135ACE64A6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Relatórios de Sprint">
  <location ref="J20:K28" firstHeaderRow="1" firstDataRow="1" firstDataCol="1"/>
  <pivotFields count="7">
    <pivotField dataField="1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5">
        <item x="1"/>
        <item x="0"/>
        <item x="2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2"/>
    <field x="3"/>
  </rowFields>
  <rowItems count="8">
    <i>
      <x/>
    </i>
    <i r="1">
      <x/>
    </i>
    <i>
      <x v="1"/>
    </i>
    <i r="1">
      <x/>
    </i>
    <i>
      <x v="2"/>
    </i>
    <i r="1">
      <x v="1"/>
    </i>
    <i>
      <x v="3"/>
    </i>
    <i r="1">
      <x v="2"/>
    </i>
  </rowItems>
  <colItems count="1">
    <i/>
  </colItems>
  <dataFields count="1">
    <dataField name="Contagem de Funcionalidade" fld="0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37E83E-8F42-40E4-9AC4-2C66FE02F704}" name="Tabela dinâ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Relatórios de Sprint">
  <location ref="J20:K33" firstHeaderRow="1" firstDataRow="1" firstDataCol="1"/>
  <pivotFields count="7">
    <pivotField dataField="1" showAll="0"/>
    <pivotField showAll="0"/>
    <pivotField axis="axisRow" showAll="0">
      <items count="9">
        <item sd="0" x="2"/>
        <item x="1"/>
        <item sd="0" x="7"/>
        <item x="0"/>
        <item x="3"/>
        <item x="5"/>
        <item x="6"/>
        <item x="4"/>
        <item t="default"/>
      </items>
    </pivotField>
    <pivotField axis="axisRow" showAll="0">
      <items count="5">
        <item m="1" x="3"/>
        <item h="1" x="2"/>
        <item x="0"/>
        <item x="1"/>
        <item t="default"/>
      </items>
    </pivotField>
    <pivotField showAll="0"/>
    <pivotField showAll="0"/>
    <pivotField showAll="0"/>
  </pivotFields>
  <rowFields count="2">
    <field x="2"/>
    <field x="3"/>
  </rowFields>
  <rowItems count="13">
    <i>
      <x/>
    </i>
    <i>
      <x v="1"/>
    </i>
    <i r="1">
      <x v="2"/>
    </i>
    <i>
      <x v="3"/>
    </i>
    <i r="1">
      <x v="2"/>
    </i>
    <i>
      <x v="4"/>
    </i>
    <i r="1">
      <x v="3"/>
    </i>
    <i>
      <x v="5"/>
    </i>
    <i r="1">
      <x v="3"/>
    </i>
    <i>
      <x v="6"/>
    </i>
    <i r="1">
      <x v="3"/>
    </i>
    <i>
      <x v="7"/>
    </i>
    <i r="1">
      <x v="3"/>
    </i>
  </rowItems>
  <colItems count="1">
    <i/>
  </colItems>
  <dataFields count="1">
    <dataField name="Contagem de Funcionalidade" fld="0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AD94EC-C913-46AE-86DA-9AAF0447FA82}" name="Tabela dinâmica1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Relatórios de Sprint">
  <location ref="J20:K26" firstHeaderRow="1" firstDataRow="1" firstDataCol="1"/>
  <pivotFields count="7">
    <pivotField dataField="1" showAl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</pivotFields>
  <rowFields count="2">
    <field x="2"/>
    <field x="3"/>
  </rowFields>
  <rowItems count="6">
    <i>
      <x/>
    </i>
    <i r="1">
      <x/>
    </i>
    <i>
      <x v="1"/>
    </i>
    <i r="1">
      <x/>
    </i>
    <i>
      <x v="2"/>
    </i>
    <i r="1">
      <x v="1"/>
    </i>
  </rowItems>
  <colItems count="1">
    <i/>
  </colItems>
  <dataFields count="1">
    <dataField name="Contagem de Funcionalidade" fld="0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25AE-D1DC-4ECF-BEA2-0DDD176F69F6}" name="Tabela dinâmica1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Relatórios de Sprint">
  <location ref="J20:K26" firstHeaderRow="1" firstDataRow="1" firstDataCol="1"/>
  <pivotFields count="7">
    <pivotField dataField="1" showAl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</pivotFields>
  <rowFields count="2">
    <field x="2"/>
    <field x="3"/>
  </rowFields>
  <rowItems count="6">
    <i>
      <x/>
    </i>
    <i r="1">
      <x/>
    </i>
    <i>
      <x v="1"/>
    </i>
    <i r="1">
      <x/>
    </i>
    <i>
      <x v="2"/>
    </i>
    <i r="1">
      <x v="1"/>
    </i>
  </rowItems>
  <colItems count="1">
    <i/>
  </colItems>
  <dataFields count="1">
    <dataField name="Contagem de Funcionalidade" fld="0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E3F437-1F24-4387-BF7C-491B205BDBC7}" name="Tabela2" displayName="Tabela2" ref="C5:J12" totalsRowShown="0" headerRowDxfId="99" dataDxfId="98">
  <autoFilter ref="C5:J12" xr:uid="{5216B057-B372-4F29-978F-CE2315115C10}"/>
  <tableColumns count="8">
    <tableColumn id="1" xr3:uid="{268A4CA6-E588-4DC3-B736-E9F1F934937E}" name="Evento" dataDxfId="97"/>
    <tableColumn id="5" xr3:uid="{BFBB5205-5CE6-45B1-90E4-650033532141}" name="Data Início" dataDxfId="96"/>
    <tableColumn id="6" xr3:uid="{E76BD343-FDC6-44D6-9503-84F752791579}" name="Data Entrega" dataDxfId="95"/>
    <tableColumn id="7" xr3:uid="{48F52171-DCB6-482C-950F-D8AD01B8A4D8}" name="Valor" dataDxfId="94"/>
    <tableColumn id="9" xr3:uid="{EEA919B6-2BBB-44B9-9CE5-7D7E7099CF46}" name="Avaliado" dataDxfId="93"/>
    <tableColumn id="4" xr3:uid="{0403A481-C7E7-45BB-A9F0-4C08C9EB4FE0}" name="Data Planning" dataDxfId="92"/>
    <tableColumn id="2" xr3:uid="{F5AF81CC-E65E-4DBD-8AA5-1FAD78F617EC}" name="Objetivo" dataDxfId="91"/>
    <tableColumn id="3" xr3:uid="{BF5549F7-4EE4-458F-AE08-D0141BB3B27F}" name="Duração Estimado (d)" dataDxfId="90">
      <calculatedColumnFormula>SUM(Tabela2[[#This Row],[Data Entrega]]-Tabela2[[#This Row],[Data Início]])</calculatedColumnFormula>
    </tableColumn>
  </tableColumns>
  <tableStyleInfo name="TableStyleLight8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4A0D0F-A385-4D65-8566-805F3679C409}" name="Tabela6" displayName="Tabela6" ref="C5:G6" totalsRowShown="0" headerRowDxfId="89" dataDxfId="88">
  <autoFilter ref="C5:G6" xr:uid="{6521BDF8-3446-453C-981F-B78A26F1D7BB}"/>
  <tableColumns count="5">
    <tableColumn id="1" xr3:uid="{761DC363-CAD3-44F4-88D8-F5AD0B2F5E33}" name="Data de Registro" dataDxfId="87"/>
    <tableColumn id="2" xr3:uid="{665F0D28-E5F0-45B7-9831-059B49E8AE48}" name="Colaborador (a)" dataDxfId="86"/>
    <tableColumn id="3" xr3:uid="{3CF5EE66-BDDD-4BC0-B6A2-A04A4A9478E3}" name="O que fez ontem?" dataDxfId="85"/>
    <tableColumn id="4" xr3:uid="{32A49930-EB0D-4995-A79A-481DD3ECF965}" name="O que vai fazer hoje?" dataDxfId="84"/>
    <tableColumn id="5" xr3:uid="{F48CDF47-7D08-4657-9720-AED0F6868010}" name="Tem algum impedimento?" dataDxfId="83"/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341996-0576-4F0D-BC87-49EF0087D96A}" name="Tabela7" displayName="Tabela7" ref="C5:E34" totalsRowShown="0" headerRowDxfId="82" dataDxfId="81">
  <autoFilter ref="C5:E34" xr:uid="{BDD2E47B-7962-49D0-8B4B-3DEE96789573}"/>
  <sortState xmlns:xlrd2="http://schemas.microsoft.com/office/spreadsheetml/2017/richdata2" ref="C6:E34">
    <sortCondition ref="D6:D34"/>
    <sortCondition ref="C6:C34"/>
  </sortState>
  <tableColumns count="3">
    <tableColumn id="1" xr3:uid="{3CDFD8D6-77EB-4B9C-93DD-A1EA2EB658C5}" name="Tarefa" dataDxfId="80"/>
    <tableColumn id="2" xr3:uid="{B31E594B-9ADD-497F-A1DE-DCEF7DE15FB1}" name="Prioridade" dataDxfId="79"/>
    <tableColumn id="4" xr3:uid="{41018E63-3BCD-47DB-8CA4-D04EC5E331EC}" name="Repositório" dataDxfId="78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5B05103-B69C-41B8-8B3D-25F19F737A2B}" name="Tabela8" displayName="Tabela8" ref="C5:I24" totalsRowShown="0" headerRowDxfId="77" dataDxfId="76">
  <autoFilter ref="C5:I24" xr:uid="{B45C0915-7BF1-40FF-B66A-E85935E84859}"/>
  <tableColumns count="7">
    <tableColumn id="1" xr3:uid="{D66822D8-9847-4F5E-8550-F25D241FC38F}" name="Funcionalidade" dataDxfId="75"/>
    <tableColumn id="2" xr3:uid="{02A0AA78-6473-48A6-A110-49EF3D1E4E54}" name="Descrição" dataDxfId="74"/>
    <tableColumn id="3" xr3:uid="{2FBC3E6A-1386-4281-BAA2-D6CDDA83A5C9}" name="Responsável" dataDxfId="73"/>
    <tableColumn id="4" xr3:uid="{DE83CCCD-B1EA-4850-B996-C1A56E997E6E}" name="Status" dataDxfId="72"/>
    <tableColumn id="5" xr3:uid="{1604F421-BFB2-4040-A82B-2B2ABC8882E6}" name="Tempo Estimável (h)" dataDxfId="71"/>
    <tableColumn id="6" xr3:uid="{2182F2A9-1898-4179-9AD5-A2D18D3D3576}" name="Data Início" dataDxfId="70"/>
    <tableColumn id="7" xr3:uid="{A14FAB67-30AC-4C97-8860-FB8B275B27C4}" name="Data Término" dataDxfId="69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497C20-0F9C-4A98-9061-FE641D031493}" name="Tabela84" displayName="Tabela84" ref="C5:I22" totalsRowShown="0" headerRowDxfId="68" dataDxfId="67">
  <autoFilter ref="C5:I22" xr:uid="{B45C0915-7BF1-40FF-B66A-E85935E84859}"/>
  <tableColumns count="7">
    <tableColumn id="1" xr3:uid="{AED1BFC6-BA60-4B0E-B8A4-18BB65873557}" name="Funcionalidade" dataDxfId="66"/>
    <tableColumn id="2" xr3:uid="{DE7AC911-C64D-47C9-9926-522E2DE04512}" name="Descrição" dataDxfId="65"/>
    <tableColumn id="3" xr3:uid="{59F54EF8-8157-47DF-ACF2-044EEC660B62}" name="Responsável" dataDxfId="64"/>
    <tableColumn id="4" xr3:uid="{D057DBB4-310D-4CA8-845C-88E87056AEC6}" name="Status" dataDxfId="63"/>
    <tableColumn id="5" xr3:uid="{B762C7B9-7CD4-46F5-9687-146AC595BC33}" name="Tempo Estimável (h)" dataDxfId="62"/>
    <tableColumn id="6" xr3:uid="{B367AA98-33B2-46B6-A9B4-EAAF74ACC34D}" name="Data Início" dataDxfId="61"/>
    <tableColumn id="7" xr3:uid="{5E86A8D6-D550-4EC7-8DBA-97BAAB5992C4}" name="Data Término" dataDxfId="60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97A47B-02EB-4F5F-989D-4FCD9A1E690A}" name="Tabela845" displayName="Tabela845" ref="C5:I25" totalsRowShown="0" headerRowDxfId="59" dataDxfId="58">
  <autoFilter ref="C5:I25" xr:uid="{B45C0915-7BF1-40FF-B66A-E85935E84859}"/>
  <tableColumns count="7">
    <tableColumn id="1" xr3:uid="{6FDDF494-183E-4323-8BB9-D0AEBBEB3B0A}" name="Funcionalidade" dataDxfId="57"/>
    <tableColumn id="2" xr3:uid="{03F59CCD-8D9F-43B1-BBA3-96AB3BDF427B}" name="Descrição" dataDxfId="56"/>
    <tableColumn id="3" xr3:uid="{526637D7-0C18-4604-B957-3E2147589590}" name="Responsável" dataDxfId="55"/>
    <tableColumn id="4" xr3:uid="{2FC87CB3-B6FE-4F7C-A8F5-B5EEDBD01B96}" name="Status" dataDxfId="54"/>
    <tableColumn id="5" xr3:uid="{39C2003D-A4D0-4E82-9DF3-84CF3E3E2DC5}" name="Tempo Estimável (h)" dataDxfId="53"/>
    <tableColumn id="6" xr3:uid="{1EB57734-FFEA-437C-9E6E-3AAEF7DE3EBA}" name="Data Início" dataDxfId="52"/>
    <tableColumn id="7" xr3:uid="{6465273A-E536-46EF-96B4-4E2096085924}" name="Data Término" dataDxfId="51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59A1CC-5FC0-483E-AF8C-A1C5825E5C02}" name="Tabela8456" displayName="Tabela8456" ref="C5:I25" totalsRowShown="0" headerRowDxfId="50" dataDxfId="49">
  <autoFilter ref="C5:I25" xr:uid="{B45C0915-7BF1-40FF-B66A-E85935E84859}"/>
  <tableColumns count="7">
    <tableColumn id="1" xr3:uid="{8A1217D3-959A-46B2-B5F1-E6348B8A3293}" name="Funcionalidade" dataDxfId="48"/>
    <tableColumn id="2" xr3:uid="{33501608-7C6B-43DE-91CE-2335A3724749}" name="Descrição" dataDxfId="47"/>
    <tableColumn id="3" xr3:uid="{EE97B240-3E88-4D43-B328-E2BABF848675}" name="Responsável" dataDxfId="46"/>
    <tableColumn id="4" xr3:uid="{9ACB43D0-1218-4C58-9890-E09D3719C96F}" name="Status" dataDxfId="45"/>
    <tableColumn id="5" xr3:uid="{AEDF4404-42E6-491B-83ED-2992EB6AFA7D}" name="Tempo Estimável (h)" dataDxfId="44"/>
    <tableColumn id="6" xr3:uid="{3E43D5BD-C4FD-4F3F-80A7-FB9BD617CBBA}" name="Data Início" dataDxfId="43"/>
    <tableColumn id="7" xr3:uid="{52315EA8-4B43-4434-AF07-CC257B5E8CC9}" name="Data Término" dataDxfId="42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E87370-AB5D-46A6-8600-DA2DF2B61171}" name="Tabela1" displayName="Tabela1" ref="C8:G28" totalsRowShown="0" headerRowDxfId="41" dataDxfId="40">
  <autoFilter ref="C8:G28" xr:uid="{F4CAC7BF-D1AE-4DDC-AE4C-655C6C0B1F9E}"/>
  <tableColumns count="5">
    <tableColumn id="1" xr3:uid="{EA272889-E5A1-4CDB-B2ED-2860DEC7FAD5}" name="Dia" dataDxfId="39"/>
    <tableColumn id="2" xr3:uid="{11DBF5F2-FF5C-46F4-B9CC-E2D752F059A3}" name="Datas" dataDxfId="38">
      <calculatedColumnFormula>D8+1</calculatedColumnFormula>
    </tableColumn>
    <tableColumn id="3" xr3:uid="{74EF9BC2-FA34-4084-9DBC-A83E602FB591}" name="Ideal (h)" dataDxfId="37">
      <calculatedColumnFormula>SUM('SPRINT 0'!G6:G24)</calculatedColumnFormula>
    </tableColumn>
    <tableColumn id="4" xr3:uid="{5B10192D-EA24-4EE2-BE2E-A76F391C2071}" name="Trabalhado (h)" dataDxfId="36">
      <calculatedColumnFormula>SUMIF('SPRINT 0'!$I$6:$I$174,D9,'SPRINT 0'!$G$6:$G$174)</calculatedColumnFormula>
    </tableColumn>
    <tableColumn id="5" xr3:uid="{94FC1DF2-6D56-497E-8CF8-DAA64CECEE5F}" name="Real (h)" dataDxfId="35">
      <calculatedColumnFormula>E9-F9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3B4186-B44A-4FAF-8C2C-23A718C455EF}" name="Tabela110" displayName="Tabela110" ref="C8:G27" totalsRowShown="0" headerRowDxfId="34" dataDxfId="33">
  <autoFilter ref="C8:G27" xr:uid="{F4CAC7BF-D1AE-4DDC-AE4C-655C6C0B1F9E}"/>
  <tableColumns count="5">
    <tableColumn id="1" xr3:uid="{A22333B4-0B60-4C2F-AC40-A76A8FBF861A}" name="Dia" dataDxfId="32"/>
    <tableColumn id="2" xr3:uid="{1E28944A-5B6E-4422-B2C7-E7614F89071B}" name="Datas" dataDxfId="31">
      <calculatedColumnFormula>D8+1</calculatedColumnFormula>
    </tableColumn>
    <tableColumn id="3" xr3:uid="{9B8A3CD9-1CFD-4F40-98B4-7674E0013653}" name="Ideal (h)" dataDxfId="30">
      <calculatedColumnFormula>SUM('SPRINT 0'!G6:G24)</calculatedColumnFormula>
    </tableColumn>
    <tableColumn id="4" xr3:uid="{941A15E6-081F-4716-9289-B9D3BD93D902}" name="Trabalhado (h)" dataDxfId="29">
      <calculatedColumnFormula>SUMIF(Tabela84[Data Término],D9,Tabela84[Tempo Estimável (h)])</calculatedColumnFormula>
    </tableColumn>
    <tableColumn id="5" xr3:uid="{CFBFA580-F7D6-46CE-8A86-4AE9678DE9AE}" name="Real (h)" dataDxfId="28">
      <calculatedColumnFormula>E9-F9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3F60C7A-2069-49D0-BA60-D27810D11FC5}" name="Tabela11011" displayName="Tabela11011" ref="C8:G28" totalsRowShown="0" headerRowDxfId="27" dataDxfId="26">
  <autoFilter ref="C8:G28" xr:uid="{F4CAC7BF-D1AE-4DDC-AE4C-655C6C0B1F9E}"/>
  <tableColumns count="5">
    <tableColumn id="1" xr3:uid="{DF032BD4-3077-4E6B-98F9-4541FAD02334}" name="Dia" dataDxfId="25"/>
    <tableColumn id="2" xr3:uid="{7EAEAF81-C67F-4E37-9676-89D98C7AC5F6}" name="Datas" dataDxfId="24">
      <calculatedColumnFormula>D8+1</calculatedColumnFormula>
    </tableColumn>
    <tableColumn id="3" xr3:uid="{98D18B64-CE33-4718-B507-CA65A74E1175}" name="Ideal (h)" dataDxfId="23">
      <calculatedColumnFormula>SUM('SPRINT 0'!G6:G24)</calculatedColumnFormula>
    </tableColumn>
    <tableColumn id="4" xr3:uid="{9E17E6FE-639B-4062-BF07-9ECF4AC6979C}" name="Trabalhado (h)" dataDxfId="22">
      <calculatedColumnFormula>SUMIF('SPRINT 2'!$I$6:$I$175,D9,'SPRINT 2'!$G$6:$G$175)</calculatedColumnFormula>
    </tableColumn>
    <tableColumn id="5" xr3:uid="{E442A007-2D33-4A06-9910-3B8492345E3C}" name="Real (h)" dataDxfId="21">
      <calculatedColumnFormula>E9-F9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50DE35-44EB-48F3-951E-33F438495ED4}" name="Tabela1101112" displayName="Tabela1101112" ref="C8:G28" totalsRowShown="0" headerRowDxfId="20" dataDxfId="19">
  <autoFilter ref="C8:G28" xr:uid="{F4CAC7BF-D1AE-4DDC-AE4C-655C6C0B1F9E}"/>
  <tableColumns count="5">
    <tableColumn id="1" xr3:uid="{B39A32DA-8571-4CB3-A149-E36A3F248305}" name="Dia" dataDxfId="18"/>
    <tableColumn id="2" xr3:uid="{FBDFEE3A-FD84-42BE-876C-0B883FA87028}" name="Datas" dataDxfId="17">
      <calculatedColumnFormula>D8+1</calculatedColumnFormula>
    </tableColumn>
    <tableColumn id="3" xr3:uid="{87C44670-E76B-40BA-A947-3A10FEEEAF8A}" name="Ideal (h)" dataDxfId="16">
      <calculatedColumnFormula>SUM('SPRINT 0'!G6:G24)</calculatedColumnFormula>
    </tableColumn>
    <tableColumn id="4" xr3:uid="{C540F21A-9FD5-4129-94DA-3CFF2405D0E4}" name="Trabalhado (h)" dataDxfId="15">
      <calculatedColumnFormula>SUMIF('SPRINT 3'!$I$6:$I$175,D9,'SPRINT 3'!$G$6:$G$175)</calculatedColumnFormula>
    </tableColumn>
    <tableColumn id="5" xr3:uid="{50885F31-4D0C-4341-9F8D-08DB9916D095}" name="Real (h)" dataDxfId="14">
      <calculatedColumnFormula>E9-F9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CD3F15-F414-46BC-A1FB-AC9BB0329E25}" name="Tabela213" displayName="Tabela213" ref="C5:J12" totalsRowShown="0" headerRowDxfId="13" dataDxfId="12">
  <autoFilter ref="C5:J12" xr:uid="{5216B057-B372-4F29-978F-CE2315115C10}"/>
  <tableColumns count="8">
    <tableColumn id="1" xr3:uid="{E2598D53-0B87-4ACC-9C14-E1D3763677C4}" name="Evento" dataDxfId="11"/>
    <tableColumn id="5" xr3:uid="{AC4FB2FA-49A9-4AB9-9C08-59A92E295B70}" name="Data Início" dataDxfId="10"/>
    <tableColumn id="6" xr3:uid="{34ED8570-66F7-4F27-BCFA-0807F0A189D4}" name="Data Entrega" dataDxfId="9"/>
    <tableColumn id="7" xr3:uid="{DBAE8B43-D336-4CB6-B0D6-43E43B58F6FD}" name="Valor" dataDxfId="8"/>
    <tableColumn id="9" xr3:uid="{88562605-E25D-42A1-A665-5FDF1B739D5E}" name="Avaliado" dataDxfId="7"/>
    <tableColumn id="4" xr3:uid="{142ED8B6-6AEB-449B-99FC-F47CE8225A6E}" name="Data Planning" dataDxfId="6"/>
    <tableColumn id="2" xr3:uid="{DFD24532-7005-48CE-93B8-C6D9C08144B8}" name="Objetivo" dataDxfId="5"/>
    <tableColumn id="3" xr3:uid="{AD42A68D-9178-4626-9452-FB6D1A408923}" name="Duração Estimado (d)" dataDxfId="4">
      <calculatedColumnFormula>SUM(Tabela213[[#This Row],[Data Entrega]]-Tabela213[[#This Row],[Data Início]])</calculatedColumnFormula>
    </tableColumn>
  </tableColumns>
  <tableStyleInfo name="TableStyleLight8" showFirstColumn="1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4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5399B-254E-4517-BF5D-7CAF2F20D74C}">
  <sheetPr codeName="Planilha1"/>
  <dimension ref="A1:K19"/>
  <sheetViews>
    <sheetView showGridLines="0" topLeftCell="A4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26.140625" style="1" customWidth="1"/>
    <col min="4" max="4" width="35.28515625" style="1" customWidth="1"/>
    <col min="5" max="5" width="40.28515625" style="20" customWidth="1"/>
    <col min="6" max="7" width="19.28515625" style="1" customWidth="1"/>
    <col min="8" max="16" width="11.140625" style="1" customWidth="1"/>
    <col min="17" max="16384" width="9.140625" style="1"/>
  </cols>
  <sheetData>
    <row r="1" spans="1:11" ht="39" customHeight="1" x14ac:dyDescent="0.2">
      <c r="A1" s="12"/>
      <c r="B1" s="12"/>
      <c r="C1" s="12"/>
      <c r="D1" s="12"/>
      <c r="E1" s="18"/>
      <c r="F1" s="12"/>
      <c r="G1" s="12"/>
      <c r="H1" s="12"/>
      <c r="I1" s="12"/>
      <c r="J1" s="12"/>
      <c r="K1" s="12"/>
    </row>
    <row r="2" spans="1:11" ht="30" customHeight="1" x14ac:dyDescent="0.2">
      <c r="A2" s="13"/>
      <c r="B2" s="13"/>
      <c r="C2" s="13"/>
      <c r="D2" s="13"/>
      <c r="E2" s="19"/>
      <c r="F2" s="13"/>
      <c r="G2" s="13"/>
      <c r="H2" s="13"/>
      <c r="I2" s="13"/>
      <c r="J2" s="13"/>
      <c r="K2" s="13"/>
    </row>
    <row r="3" spans="1:11" ht="44.25" customHeight="1" x14ac:dyDescent="0.2">
      <c r="A3" s="57"/>
      <c r="B3" s="57"/>
      <c r="C3" s="57"/>
      <c r="D3" s="57"/>
      <c r="E3" s="57"/>
      <c r="F3" s="57"/>
      <c r="G3" s="57"/>
      <c r="H3" s="16"/>
      <c r="I3" s="16"/>
      <c r="J3" s="16"/>
      <c r="K3" s="16"/>
    </row>
    <row r="4" spans="1:11" ht="15.75" customHeight="1" x14ac:dyDescent="0.2"/>
    <row r="5" spans="1:11" ht="32.25" customHeight="1" x14ac:dyDescent="0.2">
      <c r="C5" s="22" t="s">
        <v>32</v>
      </c>
      <c r="D5" s="26" t="s">
        <v>33</v>
      </c>
      <c r="E5" s="26" t="s">
        <v>34</v>
      </c>
      <c r="F5" s="26" t="s">
        <v>35</v>
      </c>
      <c r="G5" s="22" t="s">
        <v>36</v>
      </c>
      <c r="I5" s="6"/>
    </row>
    <row r="6" spans="1:11" ht="30" customHeight="1" x14ac:dyDescent="0.2">
      <c r="C6" s="23" t="s">
        <v>8</v>
      </c>
      <c r="D6" s="24" t="s">
        <v>45</v>
      </c>
      <c r="E6" s="24" t="s">
        <v>55</v>
      </c>
      <c r="F6" s="25" t="s">
        <v>123</v>
      </c>
      <c r="G6" s="34" t="s">
        <v>39</v>
      </c>
      <c r="I6" s="6"/>
    </row>
    <row r="7" spans="1:11" ht="30" customHeight="1" x14ac:dyDescent="0.2">
      <c r="C7" s="23" t="s">
        <v>9</v>
      </c>
      <c r="D7" s="24" t="s">
        <v>49</v>
      </c>
      <c r="E7" s="24" t="s">
        <v>54</v>
      </c>
      <c r="F7" s="25" t="s">
        <v>122</v>
      </c>
      <c r="G7" s="34" t="s">
        <v>39</v>
      </c>
      <c r="I7" s="6"/>
    </row>
    <row r="8" spans="1:11" ht="30" customHeight="1" x14ac:dyDescent="0.2">
      <c r="C8" s="23" t="s">
        <v>10</v>
      </c>
      <c r="D8" s="24" t="s">
        <v>51</v>
      </c>
      <c r="E8" s="24" t="s">
        <v>52</v>
      </c>
      <c r="F8" s="25" t="s">
        <v>121</v>
      </c>
      <c r="G8" s="34" t="s">
        <v>37</v>
      </c>
      <c r="I8" s="6"/>
    </row>
    <row r="9" spans="1:11" ht="30" customHeight="1" x14ac:dyDescent="0.2">
      <c r="C9" s="23" t="s">
        <v>11</v>
      </c>
      <c r="D9" s="24" t="s">
        <v>50</v>
      </c>
      <c r="E9" s="24" t="s">
        <v>53</v>
      </c>
      <c r="F9" s="25" t="s">
        <v>120</v>
      </c>
      <c r="G9" s="34" t="s">
        <v>39</v>
      </c>
      <c r="I9" s="6"/>
    </row>
    <row r="10" spans="1:11" ht="30" customHeight="1" x14ac:dyDescent="0.2">
      <c r="C10" s="23" t="s">
        <v>12</v>
      </c>
      <c r="D10" s="24" t="s">
        <v>48</v>
      </c>
      <c r="E10" s="24" t="s">
        <v>56</v>
      </c>
      <c r="F10" s="25" t="s">
        <v>119</v>
      </c>
      <c r="G10" s="34" t="s">
        <v>39</v>
      </c>
      <c r="I10" s="6"/>
    </row>
    <row r="11" spans="1:11" ht="30" customHeight="1" x14ac:dyDescent="0.2">
      <c r="C11" s="23" t="s">
        <v>13</v>
      </c>
      <c r="D11" s="24" t="s">
        <v>47</v>
      </c>
      <c r="E11" s="24" t="s">
        <v>57</v>
      </c>
      <c r="F11" s="25" t="s">
        <v>118</v>
      </c>
      <c r="G11" s="34" t="s">
        <v>39</v>
      </c>
      <c r="I11" s="6"/>
    </row>
    <row r="12" spans="1:11" ht="30" customHeight="1" x14ac:dyDescent="0.2">
      <c r="C12" s="23" t="s">
        <v>31</v>
      </c>
      <c r="D12" s="24" t="s">
        <v>46</v>
      </c>
      <c r="E12" s="24" t="s">
        <v>58</v>
      </c>
      <c r="F12" s="25" t="s">
        <v>59</v>
      </c>
      <c r="G12" s="34" t="s">
        <v>39</v>
      </c>
    </row>
    <row r="13" spans="1:11" ht="15" x14ac:dyDescent="0.25">
      <c r="D13" s="17"/>
      <c r="E13" s="21"/>
    </row>
    <row r="14" spans="1:11" ht="15" x14ac:dyDescent="0.25">
      <c r="D14" s="17"/>
      <c r="E14" s="21"/>
    </row>
    <row r="15" spans="1:11" ht="15" x14ac:dyDescent="0.25">
      <c r="D15" s="17"/>
      <c r="E15" s="21"/>
    </row>
    <row r="16" spans="1:11" ht="15" x14ac:dyDescent="0.25">
      <c r="D16" s="17"/>
      <c r="E16" s="21"/>
    </row>
    <row r="17" spans="4:5" ht="15" x14ac:dyDescent="0.25">
      <c r="D17" s="17"/>
      <c r="E17" s="21"/>
    </row>
    <row r="18" spans="4:5" ht="15" x14ac:dyDescent="0.25">
      <c r="D18" s="17"/>
      <c r="E18" s="21"/>
    </row>
    <row r="19" spans="4:5" ht="15" x14ac:dyDescent="0.25">
      <c r="D19" s="17"/>
      <c r="E19" s="21"/>
    </row>
  </sheetData>
  <sortState xmlns:xlrd2="http://schemas.microsoft.com/office/spreadsheetml/2017/richdata2" ref="C6:G12">
    <sortCondition ref="C5:C12"/>
  </sortState>
  <mergeCells count="1">
    <mergeCell ref="A3:G3"/>
  </mergeCells>
  <hyperlinks>
    <hyperlink ref="D6" r:id="rId1" xr:uid="{66D8A7AC-149F-48E1-A587-F90E92AD82AF}"/>
    <hyperlink ref="D9" r:id="rId2" xr:uid="{6B4E6D9A-7082-4EED-BC2F-E86253AF235B}"/>
    <hyperlink ref="D7" r:id="rId3" xr:uid="{0E0C2F28-1A8E-41FF-9CAE-8F8AE1882DB9}"/>
    <hyperlink ref="D10" r:id="rId4" xr:uid="{3E1C3283-F0FF-46CB-A50D-DB0B3C419D3C}"/>
    <hyperlink ref="D11" r:id="rId5" xr:uid="{E6B26486-E9DF-4A8F-A399-5CDFEA3B61FA}"/>
    <hyperlink ref="D12" r:id="rId6" xr:uid="{06E653FE-2C01-46F1-BD99-A7DEE43336ED}"/>
    <hyperlink ref="D8" r:id="rId7" xr:uid="{1F43783D-756D-4E11-9A4E-3A977841E57C}"/>
    <hyperlink ref="E6" r:id="rId8" xr:uid="{B94155DC-5D3E-4C9D-99A1-F7D25C07E63B}"/>
    <hyperlink ref="E9" r:id="rId9" xr:uid="{186FB4DC-F40B-4188-9E66-F3634DFBA7BB}"/>
    <hyperlink ref="E7" r:id="rId10" xr:uid="{4D4BF26C-28AB-426A-BA11-8B6B6A472203}"/>
    <hyperlink ref="E10" r:id="rId11" xr:uid="{A56E3A85-5735-49C3-8D8F-E3FD0E8E0B4E}"/>
    <hyperlink ref="E11" r:id="rId12" xr:uid="{C6A4DF03-FEEC-4CF5-ACB1-601CBD1036FD}"/>
    <hyperlink ref="E12" r:id="rId13" xr:uid="{A0AAEEA8-F799-423E-8A6B-97A37F6305E4}"/>
    <hyperlink ref="E8" r:id="rId14" xr:uid="{1C465A38-F53B-4642-86CB-F7A15EA90FFE}"/>
  </hyperlinks>
  <pageMargins left="0.7" right="0.7" top="0.75" bottom="0.75" header="0.3" footer="0.3"/>
  <pageSetup paperSize="9" orientation="portrait" r:id="rId15"/>
  <drawing r:id="rId1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536FBE-50E7-4C63-8995-9B6268A6131B}">
          <x14:formula1>
            <xm:f>LISTAS!$C$6:$C$8</xm:f>
          </x14:formula1>
          <xm:sqref>G6:G12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CC539-E38D-45AD-9042-F46689568DC0}">
  <sheetPr codeName="Planilha7"/>
  <dimension ref="A1:U26"/>
  <sheetViews>
    <sheetView showGridLines="0" topLeftCell="A4" workbookViewId="0">
      <selection activeCell="C6" sqref="C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5.85546875" style="1" customWidth="1"/>
    <col min="4" max="4" width="9.140625" style="1"/>
    <col min="5" max="5" width="20.85546875" style="1" customWidth="1"/>
    <col min="6" max="6" width="9.140625" style="1"/>
    <col min="7" max="7" width="25.85546875" style="1" customWidth="1"/>
    <col min="8" max="16384" width="9.140625" style="1"/>
  </cols>
  <sheetData>
    <row r="1" spans="1:21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30" customHeight="1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ht="44.25" customHeight="1" x14ac:dyDescent="0.2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16"/>
      <c r="O3" s="16"/>
      <c r="P3" s="16"/>
      <c r="Q3" s="16"/>
      <c r="R3" s="16"/>
      <c r="S3" s="16"/>
      <c r="T3" s="16"/>
      <c r="U3" s="16"/>
    </row>
    <row r="4" spans="1:21" ht="15.75" customHeight="1" x14ac:dyDescent="0.2"/>
    <row r="5" spans="1:21" ht="32.25" customHeight="1" x14ac:dyDescent="0.2">
      <c r="C5" s="27" t="s">
        <v>61</v>
      </c>
      <c r="E5" s="27" t="s">
        <v>4</v>
      </c>
      <c r="G5" s="27" t="s">
        <v>3</v>
      </c>
    </row>
    <row r="6" spans="1:21" ht="30" customHeight="1" x14ac:dyDescent="0.2">
      <c r="C6" s="54" t="s">
        <v>37</v>
      </c>
      <c r="E6" s="54" t="s">
        <v>65</v>
      </c>
      <c r="G6" s="54" t="s">
        <v>68</v>
      </c>
    </row>
    <row r="7" spans="1:21" ht="30" customHeight="1" x14ac:dyDescent="0.2">
      <c r="C7" s="34" t="s">
        <v>38</v>
      </c>
      <c r="E7" s="34" t="s">
        <v>95</v>
      </c>
      <c r="G7" s="34" t="s">
        <v>69</v>
      </c>
    </row>
    <row r="8" spans="1:21" ht="30" customHeight="1" x14ac:dyDescent="0.2">
      <c r="C8" s="8" t="s">
        <v>39</v>
      </c>
      <c r="E8" s="8" t="s">
        <v>66</v>
      </c>
      <c r="G8" s="34" t="s">
        <v>5</v>
      </c>
    </row>
    <row r="9" spans="1:21" ht="30" customHeight="1" x14ac:dyDescent="0.2">
      <c r="E9" s="8"/>
      <c r="G9" s="34" t="s">
        <v>7</v>
      </c>
    </row>
    <row r="10" spans="1:21" ht="30" customHeight="1" x14ac:dyDescent="0.2">
      <c r="E10" s="8"/>
      <c r="G10" s="34" t="s">
        <v>6</v>
      </c>
    </row>
    <row r="11" spans="1:21" ht="30" customHeight="1" x14ac:dyDescent="0.2">
      <c r="G11" s="34" t="s">
        <v>0</v>
      </c>
    </row>
    <row r="12" spans="1:21" ht="30" customHeight="1" x14ac:dyDescent="0.2">
      <c r="G12" s="34" t="s">
        <v>16</v>
      </c>
    </row>
    <row r="13" spans="1:21" ht="30" customHeight="1" x14ac:dyDescent="0.2">
      <c r="G13" s="34" t="s">
        <v>17</v>
      </c>
    </row>
    <row r="14" spans="1:21" ht="30" customHeight="1" x14ac:dyDescent="0.2">
      <c r="G14" s="55" t="s">
        <v>18</v>
      </c>
    </row>
    <row r="15" spans="1:21" ht="30" customHeight="1" x14ac:dyDescent="0.2"/>
    <row r="16" spans="1:21" ht="30" customHeight="1" x14ac:dyDescent="0.2"/>
    <row r="17" ht="30" customHeight="1" x14ac:dyDescent="0.2"/>
    <row r="18" ht="30" customHeight="1" x14ac:dyDescent="0.2"/>
    <row r="19" ht="30" customHeight="1" x14ac:dyDescent="0.2"/>
    <row r="20" ht="30" customHeight="1" x14ac:dyDescent="0.2"/>
    <row r="21" ht="30" customHeight="1" x14ac:dyDescent="0.2"/>
    <row r="22" ht="30" customHeight="1" x14ac:dyDescent="0.2"/>
    <row r="23" ht="30" customHeight="1" x14ac:dyDescent="0.2"/>
    <row r="24" ht="30" customHeight="1" x14ac:dyDescent="0.2"/>
    <row r="25" ht="30" customHeight="1" x14ac:dyDescent="0.2"/>
    <row r="26" ht="30" customHeight="1" x14ac:dyDescent="0.2"/>
  </sheetData>
  <mergeCells count="1">
    <mergeCell ref="A3:M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1CC28-0FB3-42EC-9E5F-E84736DFD812}">
  <sheetPr codeName="Planilha2"/>
  <dimension ref="A1:Q18"/>
  <sheetViews>
    <sheetView showGridLines="0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24.85546875" style="1" bestFit="1" customWidth="1"/>
    <col min="4" max="4" width="12.5703125" style="1" customWidth="1"/>
    <col min="5" max="5" width="14.42578125" style="1" customWidth="1"/>
    <col min="6" max="6" width="12.85546875" style="1" customWidth="1"/>
    <col min="7" max="7" width="11.85546875" style="1" bestFit="1" customWidth="1"/>
    <col min="8" max="8" width="20.7109375" style="1" customWidth="1"/>
    <col min="9" max="9" width="40.7109375" style="1" customWidth="1"/>
    <col min="10" max="10" width="18.140625" style="8" customWidth="1"/>
    <col min="11" max="16384" width="9.140625" style="1"/>
  </cols>
  <sheetData>
    <row r="1" spans="1:17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36"/>
      <c r="K1" s="12"/>
      <c r="L1" s="12"/>
      <c r="M1" s="12"/>
    </row>
    <row r="2" spans="1:17" ht="30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37"/>
      <c r="K2" s="13"/>
      <c r="L2" s="13"/>
      <c r="M2" s="13"/>
      <c r="Q2" s="2"/>
    </row>
    <row r="3" spans="1:17" ht="44.25" customHeight="1" x14ac:dyDescent="0.2">
      <c r="A3" s="57" t="s">
        <v>60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</row>
    <row r="4" spans="1:17" ht="15.75" customHeight="1" x14ac:dyDescent="0.2"/>
    <row r="5" spans="1:17" s="7" customFormat="1" ht="32.25" customHeight="1" x14ac:dyDescent="0.25">
      <c r="C5" s="10" t="s">
        <v>15</v>
      </c>
      <c r="D5" s="11" t="s">
        <v>24</v>
      </c>
      <c r="E5" s="11" t="s">
        <v>26</v>
      </c>
      <c r="F5" s="11" t="s">
        <v>22</v>
      </c>
      <c r="G5" s="11" t="s">
        <v>23</v>
      </c>
      <c r="H5" s="35" t="s">
        <v>98</v>
      </c>
      <c r="I5" s="10" t="s">
        <v>44</v>
      </c>
      <c r="J5" s="35" t="s">
        <v>99</v>
      </c>
    </row>
    <row r="6" spans="1:17" s="7" customFormat="1" ht="30" customHeight="1" x14ac:dyDescent="0.25">
      <c r="C6" s="7" t="s">
        <v>0</v>
      </c>
      <c r="D6" s="9">
        <v>44081</v>
      </c>
      <c r="E6" s="9">
        <v>44101</v>
      </c>
      <c r="F6" s="8">
        <v>1</v>
      </c>
      <c r="G6" s="8">
        <v>0</v>
      </c>
      <c r="H6" s="9">
        <v>44080</v>
      </c>
      <c r="I6" s="14"/>
      <c r="J6" s="8">
        <f>SUM(Tabela2[[#This Row],[Data Entrega]]-Tabela2[[#This Row],[Data Início]])</f>
        <v>20</v>
      </c>
    </row>
    <row r="7" spans="1:17" s="7" customFormat="1" ht="30" customHeight="1" x14ac:dyDescent="0.25">
      <c r="C7" s="7" t="s">
        <v>16</v>
      </c>
      <c r="D7" s="9">
        <v>44102</v>
      </c>
      <c r="E7" s="9">
        <v>44121</v>
      </c>
      <c r="F7" s="8">
        <v>2</v>
      </c>
      <c r="G7" s="8"/>
      <c r="H7" s="9">
        <v>44102</v>
      </c>
      <c r="I7" s="15"/>
      <c r="J7" s="8">
        <f>SUM(Tabela2[[#This Row],[Data Entrega]]-Tabela2[[#This Row],[Data Início]])</f>
        <v>19</v>
      </c>
    </row>
    <row r="8" spans="1:17" s="7" customFormat="1" ht="30" customHeight="1" x14ac:dyDescent="0.25">
      <c r="C8" s="7" t="s">
        <v>17</v>
      </c>
      <c r="D8" s="9">
        <v>44123</v>
      </c>
      <c r="E8" s="9">
        <v>44143</v>
      </c>
      <c r="F8" s="8">
        <v>2</v>
      </c>
      <c r="G8" s="8"/>
      <c r="H8" s="9">
        <v>44122</v>
      </c>
      <c r="I8" s="15"/>
      <c r="J8" s="8">
        <f>SUM(Tabela2[[#This Row],[Data Entrega]]-Tabela2[[#This Row],[Data Início]])</f>
        <v>20</v>
      </c>
    </row>
    <row r="9" spans="1:17" s="7" customFormat="1" ht="30" customHeight="1" x14ac:dyDescent="0.25">
      <c r="C9" s="7" t="s">
        <v>18</v>
      </c>
      <c r="D9" s="9">
        <v>44144</v>
      </c>
      <c r="E9" s="9">
        <v>44164</v>
      </c>
      <c r="F9" s="8">
        <v>2</v>
      </c>
      <c r="G9" s="8"/>
      <c r="H9" s="9">
        <v>44144</v>
      </c>
      <c r="I9" s="15"/>
      <c r="J9" s="8">
        <f>SUM(Tabela2[[#This Row],[Data Entrega]]-Tabela2[[#This Row],[Data Início]])</f>
        <v>20</v>
      </c>
    </row>
    <row r="10" spans="1:17" s="7" customFormat="1" ht="30" customHeight="1" x14ac:dyDescent="0.25">
      <c r="C10" s="7" t="s">
        <v>19</v>
      </c>
      <c r="D10" s="9">
        <v>44165</v>
      </c>
      <c r="E10" s="9">
        <v>44171</v>
      </c>
      <c r="F10" s="8"/>
      <c r="G10" s="8"/>
      <c r="H10" s="9">
        <v>44165</v>
      </c>
      <c r="I10" s="15"/>
      <c r="J10" s="8">
        <f>SUM(Tabela2[[#This Row],[Data Entrega]]-Tabela2[[#This Row],[Data Início]])</f>
        <v>6</v>
      </c>
    </row>
    <row r="11" spans="1:17" s="7" customFormat="1" ht="30" customHeight="1" x14ac:dyDescent="0.25">
      <c r="C11" s="7" t="s">
        <v>20</v>
      </c>
      <c r="D11" s="9">
        <v>44165</v>
      </c>
      <c r="E11" s="9">
        <v>44171</v>
      </c>
      <c r="F11" s="8">
        <v>3</v>
      </c>
      <c r="G11" s="8"/>
      <c r="H11" s="9">
        <v>44165</v>
      </c>
      <c r="I11" s="15"/>
      <c r="J11" s="8">
        <f>SUM(Tabela2[[#This Row],[Data Entrega]]-Tabela2[[#This Row],[Data Início]])</f>
        <v>6</v>
      </c>
    </row>
    <row r="12" spans="1:17" s="7" customFormat="1" ht="30" customHeight="1" x14ac:dyDescent="0.25">
      <c r="C12" s="7" t="s">
        <v>21</v>
      </c>
      <c r="D12" s="9">
        <v>44172</v>
      </c>
      <c r="E12" s="9">
        <v>44178</v>
      </c>
      <c r="F12" s="8"/>
      <c r="G12" s="8"/>
      <c r="H12" s="9">
        <v>44172</v>
      </c>
      <c r="I12" s="15"/>
      <c r="J12" s="8">
        <f>SUM(Tabela2[[#This Row],[Data Entrega]]-Tabela2[[#This Row],[Data Início]])</f>
        <v>6</v>
      </c>
    </row>
    <row r="15" spans="1:17" x14ac:dyDescent="0.2">
      <c r="C15" s="5"/>
      <c r="D15" s="5"/>
      <c r="E15" s="5"/>
      <c r="F15" s="5"/>
      <c r="G15" s="5"/>
      <c r="H15" s="5"/>
      <c r="I15" s="5"/>
    </row>
    <row r="16" spans="1:17" ht="15" customHeight="1" x14ac:dyDescent="0.2">
      <c r="B16" s="58"/>
      <c r="C16" s="58"/>
      <c r="D16" s="58"/>
      <c r="E16" s="58"/>
      <c r="F16" s="58"/>
      <c r="G16" s="58"/>
      <c r="H16" s="58"/>
      <c r="I16" s="58"/>
      <c r="J16" s="58"/>
    </row>
    <row r="17" spans="2:10" ht="15" customHeight="1" x14ac:dyDescent="0.2">
      <c r="B17" s="58"/>
      <c r="C17" s="58"/>
      <c r="D17" s="58"/>
      <c r="E17" s="58"/>
      <c r="F17" s="58"/>
      <c r="G17" s="58"/>
      <c r="H17" s="58"/>
      <c r="I17" s="58"/>
      <c r="J17" s="58"/>
    </row>
    <row r="18" spans="2:10" ht="14.25" customHeight="1" x14ac:dyDescent="0.2">
      <c r="B18" s="58"/>
      <c r="C18" s="58"/>
      <c r="D18" s="58"/>
      <c r="E18" s="58"/>
      <c r="F18" s="58"/>
      <c r="G18" s="58"/>
      <c r="H18" s="58"/>
      <c r="I18" s="58"/>
      <c r="J18" s="58"/>
    </row>
  </sheetData>
  <mergeCells count="2">
    <mergeCell ref="B16:J18"/>
    <mergeCell ref="A3:M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EA41-93BD-4AF9-958F-17935C93DFB9}">
  <sheetPr codeName="Planilha3"/>
  <dimension ref="A1:W11"/>
  <sheetViews>
    <sheetView showGridLines="0" zoomScaleNormal="100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17.5703125" style="1" customWidth="1"/>
    <col min="4" max="4" width="24.140625" style="1" customWidth="1"/>
    <col min="5" max="7" width="37.7109375" style="1" customWidth="1"/>
    <col min="8" max="8" width="9.140625" style="1"/>
    <col min="9" max="9" width="9.140625" style="1" customWidth="1"/>
    <col min="10" max="16384" width="9.140625" style="1"/>
  </cols>
  <sheetData>
    <row r="1" spans="1:23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</row>
    <row r="2" spans="1:23" ht="30" customHeight="1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23" ht="44.25" customHeight="1" x14ac:dyDescent="0.2">
      <c r="A3" s="57" t="s">
        <v>62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16"/>
      <c r="W3" s="16"/>
    </row>
    <row r="4" spans="1:23" ht="15.75" customHeight="1" x14ac:dyDescent="0.2"/>
    <row r="5" spans="1:23" ht="32.25" customHeight="1" x14ac:dyDescent="0.2">
      <c r="C5" s="8" t="s">
        <v>63</v>
      </c>
      <c r="D5" s="8" t="s">
        <v>64</v>
      </c>
      <c r="E5" s="8" t="s">
        <v>41</v>
      </c>
      <c r="F5" s="8" t="s">
        <v>42</v>
      </c>
      <c r="G5" s="8" t="s">
        <v>43</v>
      </c>
    </row>
    <row r="6" spans="1:23" ht="30" customHeight="1" x14ac:dyDescent="0.2">
      <c r="C6" s="9">
        <v>44119</v>
      </c>
      <c r="D6" s="8" t="s">
        <v>31</v>
      </c>
      <c r="E6" s="38" t="s">
        <v>101</v>
      </c>
      <c r="F6" s="38" t="s">
        <v>100</v>
      </c>
      <c r="G6" s="38" t="s">
        <v>102</v>
      </c>
    </row>
    <row r="7" spans="1:23" ht="30" customHeight="1" x14ac:dyDescent="0.2"/>
    <row r="8" spans="1:23" ht="30" customHeight="1" x14ac:dyDescent="0.2"/>
    <row r="9" spans="1:23" ht="30" customHeight="1" x14ac:dyDescent="0.2"/>
    <row r="10" spans="1:23" ht="30" customHeight="1" x14ac:dyDescent="0.2"/>
    <row r="11" spans="1:23" ht="30" customHeight="1" x14ac:dyDescent="0.2"/>
  </sheetData>
  <mergeCells count="1">
    <mergeCell ref="A3:U3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D40CD9-97D7-4755-BEF7-E6C43C1B8C03}">
          <x14:formula1>
            <xm:f>EQUIPE!$C$6:$C$12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B81AF-1F9F-4076-BECA-CA87FF5BDB4F}">
  <sheetPr codeName="Planilha4"/>
  <dimension ref="A1:S216"/>
  <sheetViews>
    <sheetView showGridLines="0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50.7109375" style="1" customWidth="1"/>
    <col min="4" max="4" width="20.85546875" style="1" customWidth="1"/>
    <col min="5" max="5" width="20.7109375" style="1" customWidth="1"/>
    <col min="6" max="6" width="17.42578125" style="1" bestFit="1" customWidth="1"/>
    <col min="7" max="16384" width="9.140625" style="1"/>
  </cols>
  <sheetData>
    <row r="1" spans="1:19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1:19" ht="44.25" customHeight="1" x14ac:dyDescent="0.2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16"/>
      <c r="O3" s="16"/>
      <c r="P3" s="16"/>
      <c r="Q3" s="16"/>
      <c r="R3" s="16"/>
      <c r="S3" s="16"/>
    </row>
    <row r="4" spans="1:19" ht="15.75" customHeight="1" x14ac:dyDescent="0.2"/>
    <row r="5" spans="1:19" ht="32.25" customHeight="1" x14ac:dyDescent="0.2">
      <c r="C5" s="8" t="s">
        <v>14</v>
      </c>
      <c r="D5" s="8" t="s">
        <v>4</v>
      </c>
      <c r="E5" s="8" t="s">
        <v>108</v>
      </c>
    </row>
    <row r="6" spans="1:19" ht="30" customHeight="1" x14ac:dyDescent="0.2">
      <c r="C6" s="32" t="s">
        <v>71</v>
      </c>
      <c r="D6" s="8" t="s">
        <v>65</v>
      </c>
      <c r="E6" s="8"/>
    </row>
    <row r="7" spans="1:19" ht="30" customHeight="1" x14ac:dyDescent="0.2">
      <c r="C7" s="32" t="s">
        <v>72</v>
      </c>
      <c r="D7" s="8" t="s">
        <v>65</v>
      </c>
      <c r="E7" s="8"/>
    </row>
    <row r="8" spans="1:19" ht="30" customHeight="1" x14ac:dyDescent="0.2">
      <c r="C8" s="32" t="s">
        <v>73</v>
      </c>
      <c r="D8" s="8" t="s">
        <v>65</v>
      </c>
      <c r="E8" s="8"/>
    </row>
    <row r="9" spans="1:19" ht="30" customHeight="1" x14ac:dyDescent="0.2">
      <c r="C9" s="32" t="s">
        <v>74</v>
      </c>
      <c r="D9" s="8" t="s">
        <v>65</v>
      </c>
      <c r="E9" s="8"/>
    </row>
    <row r="10" spans="1:19" ht="30" customHeight="1" x14ac:dyDescent="0.2">
      <c r="C10" s="32" t="s">
        <v>117</v>
      </c>
      <c r="D10" s="8" t="s">
        <v>65</v>
      </c>
      <c r="E10" s="8"/>
    </row>
    <row r="11" spans="1:19" ht="30" customHeight="1" x14ac:dyDescent="0.2">
      <c r="C11" s="32" t="s">
        <v>113</v>
      </c>
      <c r="D11" s="8" t="s">
        <v>65</v>
      </c>
      <c r="E11" s="8"/>
    </row>
    <row r="12" spans="1:19" ht="30" customHeight="1" x14ac:dyDescent="0.2">
      <c r="C12" s="32" t="s">
        <v>75</v>
      </c>
      <c r="D12" s="8" t="s">
        <v>95</v>
      </c>
      <c r="E12" s="8"/>
    </row>
    <row r="13" spans="1:19" ht="30" customHeight="1" x14ac:dyDescent="0.2">
      <c r="C13" s="32" t="s">
        <v>76</v>
      </c>
      <c r="D13" s="8" t="s">
        <v>95</v>
      </c>
      <c r="E13" s="8"/>
    </row>
    <row r="14" spans="1:19" ht="30" customHeight="1" x14ac:dyDescent="0.2">
      <c r="C14" s="32" t="s">
        <v>77</v>
      </c>
      <c r="D14" s="8" t="s">
        <v>95</v>
      </c>
      <c r="E14" s="8"/>
    </row>
    <row r="15" spans="1:19" ht="30" customHeight="1" x14ac:dyDescent="0.2">
      <c r="C15" s="8" t="s">
        <v>78</v>
      </c>
      <c r="D15" s="8" t="s">
        <v>95</v>
      </c>
      <c r="E15" s="8"/>
    </row>
    <row r="16" spans="1:19" ht="30" customHeight="1" x14ac:dyDescent="0.2">
      <c r="C16" s="32" t="s">
        <v>79</v>
      </c>
      <c r="D16" s="8" t="s">
        <v>95</v>
      </c>
      <c r="E16" s="8"/>
    </row>
    <row r="17" spans="3:5" ht="30" customHeight="1" x14ac:dyDescent="0.2">
      <c r="C17" s="32" t="s">
        <v>80</v>
      </c>
      <c r="D17" s="8" t="s">
        <v>95</v>
      </c>
      <c r="E17" s="8"/>
    </row>
    <row r="18" spans="3:5" ht="30" customHeight="1" x14ac:dyDescent="0.2">
      <c r="C18" s="32" t="s">
        <v>81</v>
      </c>
      <c r="D18" s="8" t="s">
        <v>95</v>
      </c>
      <c r="E18" s="8"/>
    </row>
    <row r="19" spans="3:5" ht="30" customHeight="1" x14ac:dyDescent="0.2">
      <c r="C19" s="32" t="s">
        <v>82</v>
      </c>
      <c r="D19" s="8" t="s">
        <v>95</v>
      </c>
      <c r="E19" s="8"/>
    </row>
    <row r="20" spans="3:5" ht="30" customHeight="1" x14ac:dyDescent="0.2">
      <c r="C20" s="32" t="s">
        <v>83</v>
      </c>
      <c r="D20" s="8" t="s">
        <v>95</v>
      </c>
      <c r="E20" s="8"/>
    </row>
    <row r="21" spans="3:5" ht="30" customHeight="1" x14ac:dyDescent="0.2">
      <c r="C21" s="32" t="s">
        <v>84</v>
      </c>
      <c r="D21" s="8" t="s">
        <v>95</v>
      </c>
      <c r="E21" s="8"/>
    </row>
    <row r="22" spans="3:5" ht="30" customHeight="1" x14ac:dyDescent="0.2">
      <c r="C22" s="32" t="s">
        <v>85</v>
      </c>
      <c r="D22" s="8" t="s">
        <v>95</v>
      </c>
      <c r="E22" s="8"/>
    </row>
    <row r="23" spans="3:5" ht="30" customHeight="1" x14ac:dyDescent="0.2">
      <c r="C23" s="32" t="s">
        <v>86</v>
      </c>
      <c r="D23" s="8" t="s">
        <v>66</v>
      </c>
      <c r="E23" s="8"/>
    </row>
    <row r="24" spans="3:5" ht="30" customHeight="1" x14ac:dyDescent="0.2">
      <c r="C24" s="32" t="s">
        <v>87</v>
      </c>
      <c r="D24" s="8" t="s">
        <v>66</v>
      </c>
      <c r="E24" s="8"/>
    </row>
    <row r="25" spans="3:5" ht="30" customHeight="1" x14ac:dyDescent="0.2">
      <c r="C25" s="32" t="s">
        <v>88</v>
      </c>
      <c r="D25" s="8" t="s">
        <v>66</v>
      </c>
      <c r="E25" s="8"/>
    </row>
    <row r="26" spans="3:5" ht="30" customHeight="1" x14ac:dyDescent="0.2">
      <c r="C26" s="32" t="s">
        <v>89</v>
      </c>
      <c r="D26" s="8" t="s">
        <v>66</v>
      </c>
      <c r="E26" s="8"/>
    </row>
    <row r="27" spans="3:5" ht="30" customHeight="1" x14ac:dyDescent="0.2">
      <c r="C27" s="32" t="s">
        <v>90</v>
      </c>
      <c r="D27" s="8" t="s">
        <v>66</v>
      </c>
      <c r="E27" s="8"/>
    </row>
    <row r="28" spans="3:5" ht="30" customHeight="1" x14ac:dyDescent="0.2">
      <c r="C28" s="32" t="s">
        <v>91</v>
      </c>
      <c r="D28" s="8" t="s">
        <v>66</v>
      </c>
      <c r="E28" s="8"/>
    </row>
    <row r="29" spans="3:5" ht="30" customHeight="1" x14ac:dyDescent="0.2">
      <c r="C29" s="32" t="s">
        <v>92</v>
      </c>
      <c r="D29" s="8" t="s">
        <v>66</v>
      </c>
      <c r="E29" s="8"/>
    </row>
    <row r="30" spans="3:5" ht="30" customHeight="1" x14ac:dyDescent="0.2">
      <c r="C30" s="32" t="s">
        <v>93</v>
      </c>
      <c r="D30" s="8" t="s">
        <v>66</v>
      </c>
      <c r="E30" s="8"/>
    </row>
    <row r="31" spans="3:5" ht="30" customHeight="1" x14ac:dyDescent="0.2">
      <c r="C31" s="32" t="s">
        <v>94</v>
      </c>
      <c r="D31" s="8" t="s">
        <v>66</v>
      </c>
      <c r="E31" s="8"/>
    </row>
    <row r="32" spans="3:5" ht="30" customHeight="1" x14ac:dyDescent="0.2">
      <c r="C32" s="32"/>
      <c r="D32" s="8"/>
      <c r="E32" s="8"/>
    </row>
    <row r="33" spans="3:5" ht="30" customHeight="1" x14ac:dyDescent="0.2">
      <c r="C33" s="32"/>
      <c r="D33" s="8"/>
      <c r="E33" s="8"/>
    </row>
    <row r="34" spans="3:5" ht="30" customHeight="1" x14ac:dyDescent="0.2">
      <c r="C34" s="32"/>
      <c r="D34" s="8"/>
      <c r="E34" s="8"/>
    </row>
    <row r="35" spans="3:5" ht="30" customHeight="1" x14ac:dyDescent="0.2"/>
    <row r="36" spans="3:5" ht="30" customHeight="1" x14ac:dyDescent="0.2"/>
    <row r="37" spans="3:5" ht="30" customHeight="1" x14ac:dyDescent="0.2"/>
    <row r="38" spans="3:5" ht="30" customHeight="1" x14ac:dyDescent="0.2"/>
    <row r="39" spans="3:5" ht="30" customHeight="1" x14ac:dyDescent="0.2"/>
    <row r="40" spans="3:5" ht="30" customHeight="1" x14ac:dyDescent="0.2"/>
    <row r="41" spans="3:5" ht="30" customHeight="1" x14ac:dyDescent="0.2"/>
    <row r="42" spans="3:5" ht="30" customHeight="1" x14ac:dyDescent="0.2"/>
    <row r="43" spans="3:5" ht="30" customHeight="1" x14ac:dyDescent="0.2"/>
    <row r="44" spans="3:5" ht="30" customHeight="1" x14ac:dyDescent="0.2"/>
    <row r="45" spans="3:5" ht="30" customHeight="1" x14ac:dyDescent="0.2"/>
    <row r="46" spans="3:5" ht="30" customHeight="1" x14ac:dyDescent="0.2"/>
    <row r="47" spans="3:5" ht="30" customHeight="1" x14ac:dyDescent="0.2"/>
    <row r="48" spans="3:5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  <row r="58" ht="30" customHeight="1" x14ac:dyDescent="0.2"/>
    <row r="59" ht="30" customHeight="1" x14ac:dyDescent="0.2"/>
    <row r="60" ht="30" customHeight="1" x14ac:dyDescent="0.2"/>
    <row r="61" ht="30" customHeight="1" x14ac:dyDescent="0.2"/>
    <row r="62" ht="30" customHeight="1" x14ac:dyDescent="0.2"/>
    <row r="63" ht="30" customHeight="1" x14ac:dyDescent="0.2"/>
    <row r="64" ht="30" customHeight="1" x14ac:dyDescent="0.2"/>
    <row r="65" ht="30" customHeight="1" x14ac:dyDescent="0.2"/>
    <row r="66" ht="30" customHeight="1" x14ac:dyDescent="0.2"/>
    <row r="67" ht="30" customHeight="1" x14ac:dyDescent="0.2"/>
    <row r="68" ht="30" customHeight="1" x14ac:dyDescent="0.2"/>
    <row r="69" ht="30" customHeight="1" x14ac:dyDescent="0.2"/>
    <row r="70" ht="30" customHeight="1" x14ac:dyDescent="0.2"/>
    <row r="71" ht="30" customHeight="1" x14ac:dyDescent="0.2"/>
    <row r="72" ht="30" customHeight="1" x14ac:dyDescent="0.2"/>
    <row r="73" ht="30" customHeight="1" x14ac:dyDescent="0.2"/>
    <row r="74" ht="30" customHeight="1" x14ac:dyDescent="0.2"/>
    <row r="75" ht="30" customHeight="1" x14ac:dyDescent="0.2"/>
    <row r="76" ht="30" customHeight="1" x14ac:dyDescent="0.2"/>
    <row r="77" ht="30" customHeight="1" x14ac:dyDescent="0.2"/>
    <row r="78" ht="30" customHeight="1" x14ac:dyDescent="0.2"/>
    <row r="79" ht="30" customHeight="1" x14ac:dyDescent="0.2"/>
    <row r="80" ht="30" customHeight="1" x14ac:dyDescent="0.2"/>
    <row r="81" ht="30" customHeight="1" x14ac:dyDescent="0.2"/>
    <row r="82" ht="30" customHeight="1" x14ac:dyDescent="0.2"/>
    <row r="83" ht="30" customHeight="1" x14ac:dyDescent="0.2"/>
    <row r="84" ht="30" customHeight="1" x14ac:dyDescent="0.2"/>
    <row r="85" ht="30" customHeight="1" x14ac:dyDescent="0.2"/>
    <row r="86" ht="30" customHeight="1" x14ac:dyDescent="0.2"/>
    <row r="87" ht="30" customHeight="1" x14ac:dyDescent="0.2"/>
    <row r="88" ht="30" customHeight="1" x14ac:dyDescent="0.2"/>
    <row r="89" ht="30" customHeight="1" x14ac:dyDescent="0.2"/>
    <row r="90" ht="30" customHeight="1" x14ac:dyDescent="0.2"/>
    <row r="91" ht="30" customHeight="1" x14ac:dyDescent="0.2"/>
    <row r="92" ht="30" customHeight="1" x14ac:dyDescent="0.2"/>
    <row r="93" ht="30" customHeight="1" x14ac:dyDescent="0.2"/>
    <row r="94" ht="30" customHeight="1" x14ac:dyDescent="0.2"/>
    <row r="95" ht="30" customHeight="1" x14ac:dyDescent="0.2"/>
    <row r="96" ht="30" customHeight="1" x14ac:dyDescent="0.2"/>
    <row r="97" ht="30" customHeight="1" x14ac:dyDescent="0.2"/>
    <row r="98" ht="30" customHeight="1" x14ac:dyDescent="0.2"/>
    <row r="99" ht="30" customHeight="1" x14ac:dyDescent="0.2"/>
    <row r="100" ht="30" customHeight="1" x14ac:dyDescent="0.2"/>
    <row r="101" ht="30" customHeight="1" x14ac:dyDescent="0.2"/>
    <row r="102" ht="30" customHeight="1" x14ac:dyDescent="0.2"/>
    <row r="103" ht="30" customHeight="1" x14ac:dyDescent="0.2"/>
    <row r="104" ht="30" customHeight="1" x14ac:dyDescent="0.2"/>
    <row r="105" ht="30" customHeight="1" x14ac:dyDescent="0.2"/>
    <row r="106" ht="30" customHeight="1" x14ac:dyDescent="0.2"/>
    <row r="107" ht="30" customHeight="1" x14ac:dyDescent="0.2"/>
    <row r="108" ht="30" customHeight="1" x14ac:dyDescent="0.2"/>
    <row r="109" ht="30" customHeight="1" x14ac:dyDescent="0.2"/>
    <row r="110" ht="30" customHeight="1" x14ac:dyDescent="0.2"/>
    <row r="111" ht="30" customHeight="1" x14ac:dyDescent="0.2"/>
    <row r="112" ht="30" customHeight="1" x14ac:dyDescent="0.2"/>
    <row r="113" ht="30" customHeight="1" x14ac:dyDescent="0.2"/>
    <row r="114" ht="30" customHeight="1" x14ac:dyDescent="0.2"/>
    <row r="115" ht="30" customHeight="1" x14ac:dyDescent="0.2"/>
    <row r="116" ht="30" customHeight="1" x14ac:dyDescent="0.2"/>
    <row r="117" ht="30" customHeight="1" x14ac:dyDescent="0.2"/>
    <row r="118" ht="30" customHeight="1" x14ac:dyDescent="0.2"/>
    <row r="119" ht="30" customHeight="1" x14ac:dyDescent="0.2"/>
    <row r="120" ht="30" customHeight="1" x14ac:dyDescent="0.2"/>
    <row r="121" ht="30" customHeight="1" x14ac:dyDescent="0.2"/>
    <row r="122" ht="30" customHeight="1" x14ac:dyDescent="0.2"/>
    <row r="123" ht="30" customHeight="1" x14ac:dyDescent="0.2"/>
    <row r="124" ht="30" customHeight="1" x14ac:dyDescent="0.2"/>
    <row r="125" ht="30" customHeight="1" x14ac:dyDescent="0.2"/>
    <row r="126" ht="30" customHeight="1" x14ac:dyDescent="0.2"/>
    <row r="127" ht="30" customHeight="1" x14ac:dyDescent="0.2"/>
    <row r="128" ht="30" customHeight="1" x14ac:dyDescent="0.2"/>
    <row r="129" ht="30" customHeight="1" x14ac:dyDescent="0.2"/>
    <row r="130" ht="30" customHeight="1" x14ac:dyDescent="0.2"/>
    <row r="131" ht="30" customHeight="1" x14ac:dyDescent="0.2"/>
    <row r="132" ht="30" customHeight="1" x14ac:dyDescent="0.2"/>
    <row r="133" ht="30" customHeight="1" x14ac:dyDescent="0.2"/>
    <row r="134" ht="30" customHeight="1" x14ac:dyDescent="0.2"/>
    <row r="135" ht="30" customHeight="1" x14ac:dyDescent="0.2"/>
    <row r="136" ht="30" customHeight="1" x14ac:dyDescent="0.2"/>
    <row r="137" ht="30" customHeight="1" x14ac:dyDescent="0.2"/>
    <row r="138" ht="30" customHeight="1" x14ac:dyDescent="0.2"/>
    <row r="139" ht="30" customHeight="1" x14ac:dyDescent="0.2"/>
    <row r="140" ht="30" customHeight="1" x14ac:dyDescent="0.2"/>
    <row r="141" ht="30" customHeight="1" x14ac:dyDescent="0.2"/>
    <row r="142" ht="30" customHeight="1" x14ac:dyDescent="0.2"/>
    <row r="143" ht="30" customHeight="1" x14ac:dyDescent="0.2"/>
    <row r="144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30" customHeight="1" x14ac:dyDescent="0.2"/>
    <row r="154" ht="30" customHeight="1" x14ac:dyDescent="0.2"/>
    <row r="155" ht="30" customHeight="1" x14ac:dyDescent="0.2"/>
    <row r="156" ht="30" customHeight="1" x14ac:dyDescent="0.2"/>
    <row r="157" ht="30" customHeight="1" x14ac:dyDescent="0.2"/>
    <row r="158" ht="30" customHeight="1" x14ac:dyDescent="0.2"/>
    <row r="159" ht="30" customHeight="1" x14ac:dyDescent="0.2"/>
    <row r="160" ht="30" customHeight="1" x14ac:dyDescent="0.2"/>
    <row r="161" ht="30" customHeight="1" x14ac:dyDescent="0.2"/>
    <row r="162" ht="30" customHeight="1" x14ac:dyDescent="0.2"/>
    <row r="163" ht="30" customHeight="1" x14ac:dyDescent="0.2"/>
    <row r="164" ht="30" customHeight="1" x14ac:dyDescent="0.2"/>
    <row r="165" ht="30" customHeight="1" x14ac:dyDescent="0.2"/>
    <row r="166" ht="30" customHeight="1" x14ac:dyDescent="0.2"/>
    <row r="167" ht="30" customHeight="1" x14ac:dyDescent="0.2"/>
    <row r="168" ht="30" customHeight="1" x14ac:dyDescent="0.2"/>
    <row r="169" ht="30" customHeight="1" x14ac:dyDescent="0.2"/>
    <row r="170" ht="30" customHeight="1" x14ac:dyDescent="0.2"/>
    <row r="171" ht="30" customHeight="1" x14ac:dyDescent="0.2"/>
    <row r="172" ht="30" customHeight="1" x14ac:dyDescent="0.2"/>
    <row r="173" ht="30" customHeight="1" x14ac:dyDescent="0.2"/>
    <row r="174" ht="30" customHeight="1" x14ac:dyDescent="0.2"/>
    <row r="175" ht="30" customHeight="1" x14ac:dyDescent="0.2"/>
    <row r="176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  <row r="205" ht="30" customHeight="1" x14ac:dyDescent="0.2"/>
    <row r="206" ht="30" customHeight="1" x14ac:dyDescent="0.2"/>
    <row r="207" ht="30" customHeight="1" x14ac:dyDescent="0.2"/>
    <row r="208" ht="30" customHeight="1" x14ac:dyDescent="0.2"/>
    <row r="209" ht="30" customHeight="1" x14ac:dyDescent="0.2"/>
    <row r="210" ht="30" customHeight="1" x14ac:dyDescent="0.2"/>
    <row r="211" ht="30" customHeight="1" x14ac:dyDescent="0.2"/>
    <row r="212" ht="30" customHeight="1" x14ac:dyDescent="0.2"/>
    <row r="213" ht="30" customHeight="1" x14ac:dyDescent="0.2"/>
    <row r="214" ht="30" customHeight="1" x14ac:dyDescent="0.2"/>
    <row r="215" ht="30" customHeight="1" x14ac:dyDescent="0.2"/>
    <row r="216" ht="30" customHeight="1" x14ac:dyDescent="0.2"/>
  </sheetData>
  <mergeCells count="1">
    <mergeCell ref="A3:M3"/>
  </mergeCells>
  <conditionalFormatting sqref="D6:D34">
    <cfRule type="containsText" dxfId="3" priority="2" operator="containsText" text="4 - Concluído">
      <formula>NOT(ISERROR(SEARCH("4 - Concluído",D6)))</formula>
    </cfRule>
    <cfRule type="containsText" dxfId="2" priority="3" operator="containsText" text="3 - Baixa">
      <formula>NOT(ISERROR(SEARCH("3 - Baixa",D6)))</formula>
    </cfRule>
    <cfRule type="containsText" dxfId="1" priority="4" operator="containsText" text="2 - Média">
      <formula>NOT(ISERROR(SEARCH("2 - Média",D6)))</formula>
    </cfRule>
    <cfRule type="containsText" dxfId="0" priority="5" operator="containsText" text="1 - Alta">
      <formula>NOT(ISERROR(SEARCH("1 - Alta",D6)))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4B98B0-C37D-4D08-9A4D-E98C31E96885}">
          <x14:formula1>
            <xm:f>LISTAS!$E$6:$E$10</xm:f>
          </x14:formula1>
          <xm:sqref>D6:D34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D3BA7-8FDB-4586-86A4-739D5A6ED33A}">
  <sheetPr codeName="Planilha5"/>
  <dimension ref="A1:W28"/>
  <sheetViews>
    <sheetView showGridLines="0" topLeftCell="A16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42.85546875" style="1" customWidth="1"/>
    <col min="4" max="4" width="45.7109375" style="6" customWidth="1"/>
    <col min="5" max="5" width="19.7109375" style="1" customWidth="1"/>
    <col min="6" max="6" width="16.7109375" style="1" customWidth="1"/>
    <col min="7" max="7" width="15.7109375" style="1" customWidth="1"/>
    <col min="8" max="8" width="11.7109375" style="1" customWidth="1"/>
    <col min="9" max="9" width="12.7109375" style="1" customWidth="1"/>
    <col min="10" max="16384" width="9.140625" style="1"/>
  </cols>
  <sheetData>
    <row r="1" spans="1:23" ht="39" customHeight="1" x14ac:dyDescent="0.2">
      <c r="A1" s="12"/>
      <c r="B1" s="12"/>
      <c r="C1" s="12"/>
      <c r="D1" s="30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</row>
    <row r="2" spans="1:23" ht="30" customHeight="1" x14ac:dyDescent="0.2">
      <c r="A2" s="13"/>
      <c r="B2" s="13"/>
      <c r="C2" s="13"/>
      <c r="D2" s="31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23" ht="44.25" customHeight="1" x14ac:dyDescent="0.2">
      <c r="A3" s="16"/>
      <c r="B3" s="16"/>
      <c r="C3" s="16"/>
      <c r="D3" s="28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</row>
    <row r="4" spans="1:23" ht="15.75" customHeight="1" x14ac:dyDescent="0.2"/>
    <row r="5" spans="1:23" ht="32.25" customHeight="1" x14ac:dyDescent="0.2">
      <c r="C5" s="29" t="s">
        <v>40</v>
      </c>
      <c r="D5" s="29" t="s">
        <v>1</v>
      </c>
      <c r="E5" s="29" t="s">
        <v>2</v>
      </c>
      <c r="F5" s="29" t="s">
        <v>3</v>
      </c>
      <c r="G5" s="33" t="s">
        <v>70</v>
      </c>
      <c r="H5" s="33" t="s">
        <v>24</v>
      </c>
      <c r="I5" s="33" t="s">
        <v>105</v>
      </c>
    </row>
    <row r="6" spans="1:23" ht="30" customHeight="1" x14ac:dyDescent="0.2">
      <c r="C6" s="32"/>
      <c r="D6" s="32"/>
      <c r="E6" s="8"/>
      <c r="F6" s="8"/>
      <c r="G6" s="8"/>
      <c r="H6" s="9"/>
      <c r="I6" s="9"/>
    </row>
    <row r="7" spans="1:23" ht="30" customHeight="1" x14ac:dyDescent="0.2">
      <c r="C7" s="32"/>
      <c r="D7" s="32"/>
      <c r="E7" s="8"/>
      <c r="F7" s="8"/>
      <c r="G7" s="8"/>
      <c r="H7" s="9"/>
      <c r="I7" s="9"/>
    </row>
    <row r="8" spans="1:23" ht="30" customHeight="1" x14ac:dyDescent="0.2">
      <c r="C8" s="32"/>
      <c r="D8" s="32"/>
      <c r="E8" s="8"/>
      <c r="F8" s="8"/>
      <c r="G8" s="8"/>
      <c r="H8" s="9"/>
      <c r="I8" s="9"/>
    </row>
    <row r="9" spans="1:23" ht="30" customHeight="1" x14ac:dyDescent="0.2">
      <c r="C9" s="32"/>
      <c r="D9" s="32"/>
      <c r="E9" s="8"/>
      <c r="F9" s="8"/>
      <c r="G9" s="8"/>
      <c r="H9" s="9"/>
      <c r="I9" s="9"/>
    </row>
    <row r="10" spans="1:23" ht="30" customHeight="1" x14ac:dyDescent="0.2">
      <c r="C10" s="32"/>
      <c r="D10" s="32"/>
      <c r="E10" s="8"/>
      <c r="F10" s="8"/>
      <c r="G10" s="8"/>
      <c r="H10" s="9"/>
      <c r="I10" s="9"/>
    </row>
    <row r="11" spans="1:23" ht="30" customHeight="1" x14ac:dyDescent="0.2">
      <c r="C11" s="32"/>
      <c r="D11" s="32"/>
      <c r="E11" s="8"/>
      <c r="F11" s="8"/>
      <c r="G11" s="8"/>
      <c r="H11" s="9"/>
      <c r="I11" s="9"/>
    </row>
    <row r="12" spans="1:23" ht="30" customHeight="1" x14ac:dyDescent="0.2">
      <c r="C12" s="32"/>
      <c r="D12" s="32"/>
      <c r="E12" s="8"/>
      <c r="F12" s="8"/>
      <c r="G12" s="8"/>
      <c r="H12" s="9"/>
      <c r="I12" s="9"/>
    </row>
    <row r="13" spans="1:23" ht="30" customHeight="1" x14ac:dyDescent="0.2">
      <c r="C13" s="32"/>
      <c r="D13" s="32"/>
      <c r="E13" s="8"/>
      <c r="F13" s="8"/>
      <c r="G13" s="8"/>
      <c r="H13" s="9"/>
      <c r="I13" s="9"/>
    </row>
    <row r="14" spans="1:23" ht="30" customHeight="1" x14ac:dyDescent="0.2">
      <c r="C14" s="32"/>
      <c r="D14" s="32"/>
      <c r="E14" s="8"/>
      <c r="F14" s="8"/>
      <c r="G14" s="8"/>
      <c r="H14" s="9"/>
      <c r="I14" s="9"/>
    </row>
    <row r="15" spans="1:23" ht="30" customHeight="1" x14ac:dyDescent="0.2">
      <c r="C15" s="32"/>
      <c r="D15" s="32"/>
      <c r="E15" s="8"/>
      <c r="F15" s="8"/>
      <c r="G15" s="8"/>
      <c r="H15" s="9"/>
      <c r="I15" s="9"/>
    </row>
    <row r="16" spans="1:23" ht="30" customHeight="1" x14ac:dyDescent="0.2">
      <c r="C16" s="32"/>
      <c r="D16" s="32"/>
      <c r="E16" s="8"/>
      <c r="F16" s="8"/>
      <c r="G16" s="8"/>
      <c r="H16" s="9"/>
      <c r="I16" s="9"/>
    </row>
    <row r="17" spans="3:9" ht="30" customHeight="1" x14ac:dyDescent="0.2">
      <c r="C17" s="32"/>
      <c r="D17" s="32"/>
      <c r="E17" s="8"/>
      <c r="F17" s="8"/>
      <c r="G17" s="8"/>
      <c r="H17" s="9"/>
      <c r="I17" s="9"/>
    </row>
    <row r="18" spans="3:9" ht="30" customHeight="1" x14ac:dyDescent="0.2">
      <c r="C18" s="32"/>
      <c r="D18" s="32"/>
      <c r="E18" s="8"/>
      <c r="F18" s="8"/>
      <c r="G18" s="8"/>
      <c r="H18" s="9"/>
      <c r="I18" s="9"/>
    </row>
    <row r="19" spans="3:9" ht="30" customHeight="1" x14ac:dyDescent="0.2">
      <c r="C19" s="32"/>
      <c r="D19" s="32"/>
      <c r="E19" s="8"/>
      <c r="F19" s="8"/>
      <c r="G19" s="8"/>
      <c r="H19" s="9"/>
      <c r="I19" s="9"/>
    </row>
    <row r="20" spans="3:9" ht="30" customHeight="1" x14ac:dyDescent="0.2">
      <c r="C20" s="32"/>
      <c r="D20" s="32"/>
      <c r="E20" s="8"/>
      <c r="F20" s="8"/>
      <c r="G20" s="8"/>
      <c r="H20" s="9"/>
      <c r="I20" s="9"/>
    </row>
    <row r="21" spans="3:9" ht="30" customHeight="1" x14ac:dyDescent="0.2">
      <c r="C21" s="32"/>
      <c r="D21" s="32"/>
      <c r="E21" s="8"/>
      <c r="F21" s="8"/>
      <c r="G21" s="8"/>
      <c r="H21" s="9"/>
      <c r="I21" s="9"/>
    </row>
    <row r="22" spans="3:9" ht="30" customHeight="1" x14ac:dyDescent="0.2">
      <c r="C22" s="32"/>
      <c r="D22" s="32"/>
      <c r="E22" s="8"/>
      <c r="F22" s="8"/>
      <c r="G22" s="8"/>
      <c r="H22" s="9"/>
      <c r="I22" s="9"/>
    </row>
    <row r="23" spans="3:9" ht="30" customHeight="1" x14ac:dyDescent="0.2">
      <c r="C23" s="32"/>
      <c r="D23" s="32"/>
      <c r="E23" s="8"/>
      <c r="F23" s="8"/>
      <c r="G23" s="8"/>
      <c r="H23" s="9"/>
      <c r="I23" s="9"/>
    </row>
    <row r="24" spans="3:9" ht="30" customHeight="1" x14ac:dyDescent="0.2">
      <c r="C24" s="32"/>
      <c r="D24" s="32"/>
      <c r="E24" s="8"/>
      <c r="F24" s="8"/>
      <c r="G24" s="8"/>
      <c r="H24" s="9"/>
      <c r="I24" s="9"/>
    </row>
    <row r="25" spans="3:9" ht="30" customHeight="1" x14ac:dyDescent="0.2"/>
    <row r="26" spans="3:9" ht="14.25" customHeight="1" x14ac:dyDescent="0.2"/>
    <row r="27" spans="3:9" ht="14.25" customHeight="1" x14ac:dyDescent="0.2"/>
    <row r="28" spans="3:9" ht="14.25" customHeight="1" x14ac:dyDescent="0.2"/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C69A25A-7CBB-4E72-865C-D6CAFA5DF6AD}">
          <x14:formula1>
            <xm:f>LISTAS!$G$6:$G$14</xm:f>
          </x14:formula1>
          <xm:sqref>F6:F24</xm:sqref>
        </x14:dataValidation>
        <x14:dataValidation type="list" allowBlank="1" showInputMessage="1" showErrorMessage="1" xr:uid="{6CCA923B-95DD-4FDA-832D-B4527539183C}">
          <x14:formula1>
            <xm:f>EQUIPE!$C$6:$C$12</xm:f>
          </x14:formula1>
          <xm:sqref>E6:E24</xm:sqref>
        </x14:dataValidation>
        <x14:dataValidation type="list" allowBlank="1" showInputMessage="1" showErrorMessage="1" xr:uid="{1D28E18C-8DCD-44AA-A5A4-6DC9FE6190CF}">
          <x14:formula1>
            <xm:f>BACKLOG!$C$7:$C$47</xm:f>
          </x14:formula1>
          <xm:sqref>C6:C20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30E0D-9A1F-4149-92DF-6B63640B7B2F}">
  <sheetPr codeName="Planilha8"/>
  <dimension ref="A1:W25"/>
  <sheetViews>
    <sheetView showGridLines="0" workbookViewId="0">
      <selection activeCell="J14" sqref="J14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2.85546875" style="1" customWidth="1"/>
    <col min="4" max="4" width="45.7109375" style="6" customWidth="1"/>
    <col min="5" max="5" width="19.7109375" style="1" customWidth="1"/>
    <col min="6" max="6" width="16.7109375" style="1" customWidth="1"/>
    <col min="7" max="7" width="15.7109375" style="1" customWidth="1"/>
    <col min="8" max="8" width="11.7109375" style="1" customWidth="1"/>
    <col min="9" max="9" width="12.7109375" style="1" customWidth="1"/>
    <col min="10" max="16384" width="9.140625" style="1"/>
  </cols>
  <sheetData>
    <row r="1" spans="1:23" ht="39" customHeight="1" x14ac:dyDescent="0.2">
      <c r="A1" s="12"/>
      <c r="B1" s="12"/>
      <c r="C1" s="12"/>
      <c r="D1" s="30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</row>
    <row r="2" spans="1:23" ht="30" customHeight="1" x14ac:dyDescent="0.2">
      <c r="A2" s="13"/>
      <c r="B2" s="13"/>
      <c r="C2" s="13"/>
      <c r="D2" s="31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23" ht="44.25" customHeight="1" x14ac:dyDescent="0.2">
      <c r="A3" s="16"/>
      <c r="B3" s="16"/>
      <c r="C3" s="16"/>
      <c r="D3" s="28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</row>
    <row r="4" spans="1:23" ht="15.75" customHeight="1" x14ac:dyDescent="0.2"/>
    <row r="5" spans="1:23" ht="32.25" customHeight="1" x14ac:dyDescent="0.2">
      <c r="C5" s="29" t="s">
        <v>40</v>
      </c>
      <c r="D5" s="29" t="s">
        <v>1</v>
      </c>
      <c r="E5" s="29" t="s">
        <v>2</v>
      </c>
      <c r="F5" s="29" t="s">
        <v>3</v>
      </c>
      <c r="G5" s="33" t="s">
        <v>70</v>
      </c>
      <c r="H5" s="33" t="s">
        <v>24</v>
      </c>
      <c r="I5" s="33" t="s">
        <v>105</v>
      </c>
    </row>
    <row r="6" spans="1:23" ht="30" customHeight="1" x14ac:dyDescent="0.2">
      <c r="C6" s="32" t="s">
        <v>72</v>
      </c>
      <c r="D6" s="56" t="s">
        <v>112</v>
      </c>
      <c r="E6" s="8" t="s">
        <v>10</v>
      </c>
      <c r="F6" s="8" t="s">
        <v>5</v>
      </c>
      <c r="G6" s="8">
        <v>10</v>
      </c>
      <c r="H6" s="9">
        <v>44119</v>
      </c>
      <c r="I6" s="9">
        <v>44120</v>
      </c>
    </row>
    <row r="7" spans="1:23" ht="30" customHeight="1" x14ac:dyDescent="0.2">
      <c r="C7" s="32" t="s">
        <v>113</v>
      </c>
      <c r="D7" s="32" t="s">
        <v>114</v>
      </c>
      <c r="E7" s="8" t="s">
        <v>12</v>
      </c>
      <c r="F7" s="8" t="s">
        <v>5</v>
      </c>
      <c r="G7" s="8">
        <v>4</v>
      </c>
      <c r="H7" s="9">
        <v>44119</v>
      </c>
      <c r="I7" s="9">
        <v>44120</v>
      </c>
    </row>
    <row r="8" spans="1:23" ht="30" customHeight="1" x14ac:dyDescent="0.2">
      <c r="C8" s="32" t="s">
        <v>113</v>
      </c>
      <c r="D8" s="32" t="s">
        <v>114</v>
      </c>
      <c r="E8" s="8" t="s">
        <v>13</v>
      </c>
      <c r="F8" s="8" t="s">
        <v>5</v>
      </c>
      <c r="G8" s="8">
        <v>4</v>
      </c>
      <c r="H8" s="9">
        <v>44119</v>
      </c>
      <c r="I8" s="9">
        <v>44120</v>
      </c>
    </row>
    <row r="9" spans="1:23" ht="30" customHeight="1" x14ac:dyDescent="0.2">
      <c r="C9" s="32" t="s">
        <v>97</v>
      </c>
      <c r="D9" s="32" t="s">
        <v>115</v>
      </c>
      <c r="E9" s="8" t="s">
        <v>31</v>
      </c>
      <c r="F9" s="8" t="s">
        <v>5</v>
      </c>
      <c r="G9" s="8">
        <v>20</v>
      </c>
      <c r="H9" s="9">
        <v>44117</v>
      </c>
      <c r="I9" s="9">
        <v>44120</v>
      </c>
    </row>
    <row r="10" spans="1:23" ht="30" customHeight="1" x14ac:dyDescent="0.2">
      <c r="C10" s="32" t="s">
        <v>117</v>
      </c>
      <c r="D10" s="32" t="s">
        <v>117</v>
      </c>
      <c r="E10" s="8" t="s">
        <v>9</v>
      </c>
      <c r="F10" s="8" t="s">
        <v>5</v>
      </c>
      <c r="G10" s="8">
        <v>3</v>
      </c>
      <c r="H10" s="9">
        <v>44104</v>
      </c>
      <c r="I10" s="9">
        <v>44120</v>
      </c>
    </row>
    <row r="11" spans="1:23" ht="30" customHeight="1" x14ac:dyDescent="0.2">
      <c r="C11" s="32" t="s">
        <v>73</v>
      </c>
      <c r="D11" s="32" t="s">
        <v>124</v>
      </c>
      <c r="E11" s="8" t="s">
        <v>13</v>
      </c>
      <c r="F11" s="8" t="s">
        <v>5</v>
      </c>
      <c r="G11" s="8">
        <v>2</v>
      </c>
      <c r="H11" s="9">
        <v>44117</v>
      </c>
      <c r="I11" s="9">
        <v>44117</v>
      </c>
    </row>
    <row r="12" spans="1:23" ht="30" customHeight="1" x14ac:dyDescent="0.2">
      <c r="C12" s="32" t="s">
        <v>74</v>
      </c>
      <c r="D12" s="32" t="s">
        <v>125</v>
      </c>
      <c r="E12" s="8" t="s">
        <v>11</v>
      </c>
      <c r="F12" s="8" t="s">
        <v>5</v>
      </c>
      <c r="G12" s="8">
        <v>4</v>
      </c>
      <c r="H12" s="9">
        <v>44113</v>
      </c>
      <c r="I12" s="9">
        <v>44117</v>
      </c>
    </row>
    <row r="13" spans="1:23" ht="30" customHeight="1" x14ac:dyDescent="0.2">
      <c r="C13" s="32" t="s">
        <v>74</v>
      </c>
      <c r="D13" s="32" t="s">
        <v>126</v>
      </c>
      <c r="E13" s="8" t="s">
        <v>13</v>
      </c>
      <c r="F13" s="8" t="s">
        <v>5</v>
      </c>
      <c r="G13" s="8">
        <v>3</v>
      </c>
      <c r="H13" s="9">
        <v>44118</v>
      </c>
      <c r="I13" s="9">
        <v>44118</v>
      </c>
    </row>
    <row r="14" spans="1:23" ht="30" customHeight="1" x14ac:dyDescent="0.2">
      <c r="C14" s="32" t="s">
        <v>117</v>
      </c>
      <c r="D14" s="32" t="s">
        <v>116</v>
      </c>
      <c r="E14" s="8" t="s">
        <v>8</v>
      </c>
      <c r="F14" s="8" t="s">
        <v>5</v>
      </c>
      <c r="G14" s="8">
        <v>2</v>
      </c>
      <c r="H14" s="9">
        <v>44118</v>
      </c>
      <c r="I14" s="9">
        <v>44118</v>
      </c>
    </row>
    <row r="15" spans="1:23" ht="30" customHeight="1" x14ac:dyDescent="0.2">
      <c r="C15" s="32" t="s">
        <v>117</v>
      </c>
      <c r="D15" s="32" t="s">
        <v>127</v>
      </c>
      <c r="E15" s="8" t="s">
        <v>8</v>
      </c>
      <c r="F15" s="8" t="s">
        <v>5</v>
      </c>
      <c r="G15" s="8">
        <v>5</v>
      </c>
      <c r="H15" s="9">
        <v>44102</v>
      </c>
      <c r="I15" s="9">
        <v>44120</v>
      </c>
    </row>
    <row r="16" spans="1:23" ht="30" customHeight="1" x14ac:dyDescent="0.2">
      <c r="C16" s="32" t="s">
        <v>117</v>
      </c>
      <c r="D16" s="32" t="s">
        <v>117</v>
      </c>
      <c r="E16" s="8" t="s">
        <v>13</v>
      </c>
      <c r="F16" s="8" t="s">
        <v>5</v>
      </c>
      <c r="G16" s="8">
        <v>2</v>
      </c>
      <c r="H16" s="9">
        <v>44117</v>
      </c>
      <c r="I16" s="9">
        <v>44120</v>
      </c>
    </row>
    <row r="17" spans="3:9" ht="30" customHeight="1" x14ac:dyDescent="0.2">
      <c r="C17" s="32" t="s">
        <v>72</v>
      </c>
      <c r="D17" s="32" t="s">
        <v>128</v>
      </c>
      <c r="E17" s="8" t="s">
        <v>10</v>
      </c>
      <c r="F17" s="8" t="s">
        <v>5</v>
      </c>
      <c r="G17" s="8">
        <v>3</v>
      </c>
      <c r="H17" s="9">
        <v>44111</v>
      </c>
      <c r="I17" s="9">
        <v>44119</v>
      </c>
    </row>
    <row r="18" spans="3:9" ht="30" customHeight="1" x14ac:dyDescent="0.2">
      <c r="C18" s="32" t="s">
        <v>71</v>
      </c>
      <c r="D18" s="32" t="s">
        <v>129</v>
      </c>
      <c r="E18" s="8" t="s">
        <v>10</v>
      </c>
      <c r="F18" s="8" t="s">
        <v>5</v>
      </c>
      <c r="G18" s="8">
        <v>3</v>
      </c>
      <c r="H18" s="9">
        <v>44119</v>
      </c>
      <c r="I18" s="9">
        <v>44119</v>
      </c>
    </row>
    <row r="19" spans="3:9" ht="30" customHeight="1" x14ac:dyDescent="0.2">
      <c r="C19" s="32"/>
      <c r="D19" s="32"/>
      <c r="E19" s="8"/>
      <c r="F19" s="8"/>
      <c r="G19" s="8"/>
      <c r="H19" s="9"/>
      <c r="I19" s="9"/>
    </row>
    <row r="20" spans="3:9" ht="30" customHeight="1" x14ac:dyDescent="0.2">
      <c r="C20" s="32"/>
      <c r="D20" s="32"/>
      <c r="E20" s="8"/>
      <c r="F20" s="8"/>
      <c r="G20" s="8"/>
      <c r="H20" s="9"/>
      <c r="I20" s="9"/>
    </row>
    <row r="21" spans="3:9" ht="30" customHeight="1" x14ac:dyDescent="0.2">
      <c r="C21" s="32"/>
      <c r="D21" s="32"/>
      <c r="E21" s="8"/>
      <c r="F21" s="8"/>
      <c r="G21" s="8"/>
      <c r="H21" s="9"/>
      <c r="I21" s="9"/>
    </row>
    <row r="22" spans="3:9" ht="30" customHeight="1" x14ac:dyDescent="0.2">
      <c r="C22" s="32"/>
      <c r="D22" s="32"/>
      <c r="E22" s="8"/>
      <c r="F22" s="8"/>
      <c r="G22" s="8"/>
      <c r="H22" s="9"/>
      <c r="I22" s="9"/>
    </row>
    <row r="23" spans="3:9" ht="14.25" customHeight="1" x14ac:dyDescent="0.2"/>
    <row r="24" spans="3:9" ht="14.25" customHeight="1" x14ac:dyDescent="0.2"/>
    <row r="25" spans="3:9" ht="14.25" customHeight="1" x14ac:dyDescent="0.2"/>
  </sheetData>
  <dataConsolidate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FA10414-1DF4-4498-9855-A221DF00CCDC}">
          <x14:formula1>
            <xm:f>BACKLOG!$C$7:$C$47</xm:f>
          </x14:formula1>
          <xm:sqref>C23:C46</xm:sqref>
        </x14:dataValidation>
        <x14:dataValidation type="list" allowBlank="1" showInputMessage="1" showErrorMessage="1" xr:uid="{54B1AE8B-3365-4101-B7DC-D0B172892635}">
          <x14:formula1>
            <xm:f>EQUIPE!$C$6:$C$12</xm:f>
          </x14:formula1>
          <xm:sqref>E6:E22</xm:sqref>
        </x14:dataValidation>
        <x14:dataValidation type="list" allowBlank="1" showInputMessage="1" showErrorMessage="1" xr:uid="{B1F36249-0EDA-4CB1-AFD7-60E52C231BEF}">
          <x14:formula1>
            <xm:f>LISTAS!$G$6:$G$14</xm:f>
          </x14:formula1>
          <xm:sqref>F6:F22</xm:sqref>
        </x14:dataValidation>
        <x14:dataValidation type="list" allowBlank="1" showInputMessage="1" showErrorMessage="1" xr:uid="{B0278B17-1291-4B52-9B56-BEE8309824A0}">
          <x14:formula1>
            <xm:f>BACKLOG!$C$6:$C$101</xm:f>
          </x14:formula1>
          <xm:sqref>C6:C22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BA606-3CB4-4FAD-9AEF-1DD6D799A07A}">
  <sheetPr codeName="Planilha9"/>
  <dimension ref="A1:W28"/>
  <sheetViews>
    <sheetView showGridLines="0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42.85546875" style="1" customWidth="1"/>
    <col min="4" max="4" width="45.7109375" style="6" customWidth="1"/>
    <col min="5" max="5" width="19.7109375" style="1" customWidth="1"/>
    <col min="6" max="6" width="16.7109375" style="1" customWidth="1"/>
    <col min="7" max="7" width="15.7109375" style="1" customWidth="1"/>
    <col min="8" max="8" width="11.7109375" style="1" customWidth="1"/>
    <col min="9" max="9" width="12.7109375" style="1" customWidth="1"/>
    <col min="10" max="16384" width="9.140625" style="1"/>
  </cols>
  <sheetData>
    <row r="1" spans="1:23" ht="39" customHeight="1" x14ac:dyDescent="0.2">
      <c r="A1" s="12"/>
      <c r="B1" s="12"/>
      <c r="C1" s="12"/>
      <c r="D1" s="30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</row>
    <row r="2" spans="1:23" ht="30" customHeight="1" x14ac:dyDescent="0.2">
      <c r="A2" s="13"/>
      <c r="B2" s="13"/>
      <c r="C2" s="13"/>
      <c r="D2" s="31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23" ht="44.25" customHeight="1" x14ac:dyDescent="0.2">
      <c r="A3" s="16"/>
      <c r="B3" s="16"/>
      <c r="C3" s="16"/>
      <c r="D3" s="28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</row>
    <row r="4" spans="1:23" ht="15.75" customHeight="1" x14ac:dyDescent="0.2"/>
    <row r="5" spans="1:23" ht="32.25" customHeight="1" x14ac:dyDescent="0.2">
      <c r="C5" s="29" t="s">
        <v>40</v>
      </c>
      <c r="D5" s="29" t="s">
        <v>1</v>
      </c>
      <c r="E5" s="29" t="s">
        <v>2</v>
      </c>
      <c r="F5" s="29" t="s">
        <v>3</v>
      </c>
      <c r="G5" s="33" t="s">
        <v>70</v>
      </c>
      <c r="H5" s="33" t="s">
        <v>24</v>
      </c>
      <c r="I5" s="33" t="s">
        <v>105</v>
      </c>
    </row>
    <row r="6" spans="1:23" ht="30" customHeight="1" x14ac:dyDescent="0.2">
      <c r="C6" s="32" t="s">
        <v>80</v>
      </c>
      <c r="D6" s="32"/>
      <c r="E6" s="8"/>
      <c r="F6" s="8"/>
      <c r="G6" s="8">
        <v>0</v>
      </c>
      <c r="H6" s="9"/>
      <c r="I6" s="9"/>
    </row>
    <row r="7" spans="1:23" ht="30" customHeight="1" x14ac:dyDescent="0.2">
      <c r="C7" s="32" t="s">
        <v>84</v>
      </c>
      <c r="D7" s="32"/>
      <c r="E7" s="8"/>
      <c r="F7" s="8"/>
      <c r="G7" s="8">
        <v>0</v>
      </c>
      <c r="H7" s="9"/>
      <c r="I7" s="9"/>
    </row>
    <row r="8" spans="1:23" ht="30" customHeight="1" x14ac:dyDescent="0.2">
      <c r="C8" s="32" t="s">
        <v>81</v>
      </c>
      <c r="D8" s="32"/>
      <c r="E8" s="8"/>
      <c r="F8" s="8"/>
      <c r="G8" s="8"/>
      <c r="H8" s="9"/>
      <c r="I8" s="9"/>
    </row>
    <row r="9" spans="1:23" ht="30" customHeight="1" x14ac:dyDescent="0.2">
      <c r="C9" s="32" t="s">
        <v>83</v>
      </c>
      <c r="D9" s="32"/>
      <c r="E9" s="8"/>
      <c r="F9" s="8"/>
      <c r="G9" s="8"/>
      <c r="H9" s="9"/>
      <c r="I9" s="9"/>
    </row>
    <row r="10" spans="1:23" ht="30" customHeight="1" x14ac:dyDescent="0.2">
      <c r="C10" s="32" t="s">
        <v>82</v>
      </c>
      <c r="D10" s="32"/>
      <c r="E10" s="8"/>
      <c r="F10" s="8"/>
      <c r="G10" s="8"/>
      <c r="H10" s="9"/>
      <c r="I10" s="9"/>
    </row>
    <row r="11" spans="1:23" ht="30" customHeight="1" x14ac:dyDescent="0.2">
      <c r="C11" s="32" t="s">
        <v>75</v>
      </c>
      <c r="D11" s="32"/>
      <c r="E11" s="8"/>
      <c r="F11" s="8"/>
      <c r="G11" s="8"/>
      <c r="H11" s="9"/>
      <c r="I11" s="9"/>
    </row>
    <row r="12" spans="1:23" ht="30" customHeight="1" x14ac:dyDescent="0.2">
      <c r="C12" s="32" t="s">
        <v>85</v>
      </c>
      <c r="D12" s="32"/>
      <c r="E12" s="8"/>
      <c r="F12" s="8"/>
      <c r="G12" s="8"/>
      <c r="H12" s="9"/>
      <c r="I12" s="9"/>
    </row>
    <row r="13" spans="1:23" ht="30" customHeight="1" x14ac:dyDescent="0.2">
      <c r="C13" s="32" t="s">
        <v>77</v>
      </c>
      <c r="D13" s="32"/>
      <c r="E13" s="8"/>
      <c r="F13" s="8"/>
      <c r="G13" s="8"/>
      <c r="H13" s="9"/>
      <c r="I13" s="9"/>
    </row>
    <row r="14" spans="1:23" ht="30" customHeight="1" x14ac:dyDescent="0.2">
      <c r="C14" s="32" t="s">
        <v>79</v>
      </c>
      <c r="D14" s="32"/>
      <c r="E14" s="8"/>
      <c r="F14" s="8"/>
      <c r="G14" s="8"/>
      <c r="H14" s="9"/>
      <c r="I14" s="9"/>
    </row>
    <row r="15" spans="1:23" ht="30" customHeight="1" x14ac:dyDescent="0.2">
      <c r="C15" s="32" t="s">
        <v>78</v>
      </c>
      <c r="D15" s="32"/>
      <c r="E15" s="8"/>
      <c r="F15" s="8"/>
      <c r="G15" s="8"/>
      <c r="H15" s="9"/>
      <c r="I15" s="9"/>
    </row>
    <row r="16" spans="1:23" ht="30" customHeight="1" x14ac:dyDescent="0.2">
      <c r="C16" s="32" t="s">
        <v>76</v>
      </c>
      <c r="D16" s="32"/>
      <c r="E16" s="8"/>
      <c r="F16" s="8"/>
      <c r="G16" s="8"/>
      <c r="H16" s="9"/>
      <c r="I16" s="9"/>
    </row>
    <row r="17" spans="3:9" ht="30" customHeight="1" x14ac:dyDescent="0.2">
      <c r="C17" s="32"/>
      <c r="D17" s="32"/>
      <c r="E17" s="8"/>
      <c r="F17" s="8"/>
      <c r="G17" s="8"/>
      <c r="H17" s="9"/>
      <c r="I17" s="9"/>
    </row>
    <row r="18" spans="3:9" ht="30" customHeight="1" x14ac:dyDescent="0.2">
      <c r="C18" s="32"/>
      <c r="D18" s="32"/>
      <c r="E18" s="8"/>
      <c r="F18" s="8"/>
      <c r="G18" s="8"/>
      <c r="H18" s="9"/>
      <c r="I18" s="9"/>
    </row>
    <row r="19" spans="3:9" ht="30" customHeight="1" x14ac:dyDescent="0.2">
      <c r="C19" s="32"/>
      <c r="D19" s="32"/>
      <c r="E19" s="8"/>
      <c r="F19" s="8"/>
      <c r="G19" s="8"/>
      <c r="H19" s="9"/>
      <c r="I19" s="9"/>
    </row>
    <row r="20" spans="3:9" ht="30" customHeight="1" x14ac:dyDescent="0.2">
      <c r="C20" s="32"/>
      <c r="D20" s="32"/>
      <c r="E20" s="8"/>
      <c r="F20" s="8"/>
      <c r="G20" s="8"/>
      <c r="H20" s="9"/>
      <c r="I20" s="9"/>
    </row>
    <row r="21" spans="3:9" ht="30" customHeight="1" x14ac:dyDescent="0.2">
      <c r="C21" s="32"/>
      <c r="D21" s="32"/>
      <c r="E21" s="8"/>
      <c r="F21" s="8"/>
      <c r="G21" s="8"/>
      <c r="H21" s="9"/>
      <c r="I21" s="9"/>
    </row>
    <row r="22" spans="3:9" ht="30" customHeight="1" x14ac:dyDescent="0.2">
      <c r="C22" s="32"/>
      <c r="D22" s="32"/>
      <c r="E22" s="8"/>
      <c r="F22" s="8"/>
      <c r="G22" s="8"/>
      <c r="H22" s="9"/>
      <c r="I22" s="9"/>
    </row>
    <row r="23" spans="3:9" ht="30" customHeight="1" x14ac:dyDescent="0.2">
      <c r="C23" s="32"/>
      <c r="D23" s="32"/>
      <c r="E23" s="8"/>
      <c r="F23" s="8"/>
      <c r="G23" s="8"/>
      <c r="H23" s="9"/>
      <c r="I23" s="9"/>
    </row>
    <row r="24" spans="3:9" ht="30" customHeight="1" x14ac:dyDescent="0.2">
      <c r="C24" s="32"/>
      <c r="D24" s="32"/>
      <c r="E24" s="8"/>
      <c r="F24" s="8"/>
      <c r="G24" s="8"/>
      <c r="H24" s="9"/>
      <c r="I24" s="9"/>
    </row>
    <row r="25" spans="3:9" ht="30" customHeight="1" x14ac:dyDescent="0.2">
      <c r="C25" s="32"/>
      <c r="D25" s="32"/>
      <c r="E25" s="8"/>
      <c r="F25" s="8"/>
      <c r="G25" s="8"/>
      <c r="H25" s="9"/>
      <c r="I25" s="9"/>
    </row>
    <row r="26" spans="3:9" ht="14.25" customHeight="1" x14ac:dyDescent="0.2"/>
    <row r="27" spans="3:9" ht="14.25" customHeight="1" x14ac:dyDescent="0.2"/>
    <row r="28" spans="3:9" ht="14.25" customHeight="1" x14ac:dyDescent="0.2"/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69005F-2FFB-4A5E-B6C3-403179122EEE}">
          <x14:formula1>
            <xm:f>LISTAS!$G$6:$G$14</xm:f>
          </x14:formula1>
          <xm:sqref>F6:F25</xm:sqref>
        </x14:dataValidation>
        <x14:dataValidation type="list" allowBlank="1" showInputMessage="1" showErrorMessage="1" xr:uid="{95870304-51B4-4882-8161-C3448B5EB0C7}">
          <x14:formula1>
            <xm:f>EQUIPE!$C$6:$C$12</xm:f>
          </x14:formula1>
          <xm:sqref>E6:E25</xm:sqref>
        </x14:dataValidation>
        <x14:dataValidation type="list" allowBlank="1" showInputMessage="1" showErrorMessage="1" xr:uid="{82281FDB-C50C-4868-B84A-64C14FF867A5}">
          <x14:formula1>
            <xm:f>BACKLOG!$C$7:$C$47</xm:f>
          </x14:formula1>
          <xm:sqref>C6:C21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82B42-C117-4A87-A5F1-0D14E9C19FDF}">
  <sheetPr codeName="Planilha10"/>
  <dimension ref="A1:W28"/>
  <sheetViews>
    <sheetView showGridLines="0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42.85546875" style="1" customWidth="1"/>
    <col min="4" max="4" width="45.7109375" style="6" customWidth="1"/>
    <col min="5" max="5" width="19.7109375" style="1" customWidth="1"/>
    <col min="6" max="6" width="16.7109375" style="1" customWidth="1"/>
    <col min="7" max="7" width="15.7109375" style="1" customWidth="1"/>
    <col min="8" max="8" width="11.7109375" style="1" customWidth="1"/>
    <col min="9" max="9" width="12.7109375" style="1" customWidth="1"/>
    <col min="10" max="16384" width="9.140625" style="1"/>
  </cols>
  <sheetData>
    <row r="1" spans="1:23" ht="39" customHeight="1" x14ac:dyDescent="0.2">
      <c r="A1" s="12"/>
      <c r="B1" s="12"/>
      <c r="C1" s="12"/>
      <c r="D1" s="30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</row>
    <row r="2" spans="1:23" ht="30" customHeight="1" x14ac:dyDescent="0.2">
      <c r="A2" s="13"/>
      <c r="B2" s="13"/>
      <c r="C2" s="13"/>
      <c r="D2" s="31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23" ht="44.25" customHeight="1" x14ac:dyDescent="0.2">
      <c r="A3" s="16"/>
      <c r="B3" s="16"/>
      <c r="C3" s="16"/>
      <c r="D3" s="28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</row>
    <row r="4" spans="1:23" ht="15.75" customHeight="1" x14ac:dyDescent="0.2"/>
    <row r="5" spans="1:23" ht="32.25" customHeight="1" x14ac:dyDescent="0.2">
      <c r="C5" s="29" t="s">
        <v>40</v>
      </c>
      <c r="D5" s="29" t="s">
        <v>1</v>
      </c>
      <c r="E5" s="29" t="s">
        <v>2</v>
      </c>
      <c r="F5" s="29" t="s">
        <v>3</v>
      </c>
      <c r="G5" s="33" t="s">
        <v>70</v>
      </c>
      <c r="H5" s="33" t="s">
        <v>24</v>
      </c>
      <c r="I5" s="33" t="s">
        <v>105</v>
      </c>
    </row>
    <row r="6" spans="1:23" ht="30" customHeight="1" x14ac:dyDescent="0.2">
      <c r="C6" s="32" t="s">
        <v>92</v>
      </c>
      <c r="D6" s="32"/>
      <c r="E6" s="8"/>
      <c r="F6" s="8"/>
      <c r="G6" s="8">
        <v>30</v>
      </c>
      <c r="H6" s="9"/>
      <c r="I6" s="9"/>
    </row>
    <row r="7" spans="1:23" ht="30" customHeight="1" x14ac:dyDescent="0.2">
      <c r="C7" s="32" t="s">
        <v>91</v>
      </c>
      <c r="D7" s="32"/>
      <c r="E7" s="8"/>
      <c r="F7" s="8"/>
      <c r="G7" s="8">
        <v>50</v>
      </c>
      <c r="H7" s="9"/>
      <c r="I7" s="9"/>
    </row>
    <row r="8" spans="1:23" ht="30" customHeight="1" x14ac:dyDescent="0.2">
      <c r="C8" s="32" t="s">
        <v>90</v>
      </c>
      <c r="D8" s="32"/>
      <c r="E8" s="8"/>
      <c r="F8" s="8"/>
      <c r="G8" s="8"/>
      <c r="H8" s="9"/>
      <c r="I8" s="9"/>
    </row>
    <row r="9" spans="1:23" ht="30" customHeight="1" x14ac:dyDescent="0.2">
      <c r="C9" s="32" t="s">
        <v>93</v>
      </c>
      <c r="D9" s="32"/>
      <c r="E9" s="8"/>
      <c r="F9" s="8"/>
      <c r="G9" s="8"/>
      <c r="H9" s="9"/>
      <c r="I9" s="9"/>
    </row>
    <row r="10" spans="1:23" ht="30" customHeight="1" x14ac:dyDescent="0.2">
      <c r="C10" s="32" t="s">
        <v>94</v>
      </c>
      <c r="D10" s="32"/>
      <c r="E10" s="8"/>
      <c r="F10" s="8"/>
      <c r="G10" s="8"/>
      <c r="H10" s="9"/>
      <c r="I10" s="9"/>
    </row>
    <row r="11" spans="1:23" ht="30" customHeight="1" x14ac:dyDescent="0.2">
      <c r="C11" s="32" t="s">
        <v>86</v>
      </c>
      <c r="D11" s="32"/>
      <c r="E11" s="8"/>
      <c r="F11" s="8"/>
      <c r="G11" s="8"/>
      <c r="H11" s="9"/>
      <c r="I11" s="9"/>
    </row>
    <row r="12" spans="1:23" ht="30" customHeight="1" x14ac:dyDescent="0.2">
      <c r="C12" s="32" t="s">
        <v>88</v>
      </c>
      <c r="D12" s="32"/>
      <c r="E12" s="8"/>
      <c r="F12" s="8"/>
      <c r="G12" s="8"/>
      <c r="H12" s="9"/>
      <c r="I12" s="9"/>
    </row>
    <row r="13" spans="1:23" ht="30" customHeight="1" x14ac:dyDescent="0.2">
      <c r="C13" s="32" t="s">
        <v>89</v>
      </c>
      <c r="D13" s="32"/>
      <c r="E13" s="8"/>
      <c r="F13" s="8"/>
      <c r="G13" s="8"/>
      <c r="H13" s="9"/>
      <c r="I13" s="9"/>
    </row>
    <row r="14" spans="1:23" ht="30" customHeight="1" x14ac:dyDescent="0.2">
      <c r="C14" s="32" t="s">
        <v>96</v>
      </c>
      <c r="D14" s="32"/>
      <c r="E14" s="8"/>
      <c r="F14" s="8"/>
      <c r="G14" s="8"/>
      <c r="H14" s="9"/>
      <c r="I14" s="9"/>
    </row>
    <row r="15" spans="1:23" ht="30" customHeight="1" x14ac:dyDescent="0.2">
      <c r="C15" s="32" t="s">
        <v>87</v>
      </c>
      <c r="D15" s="32"/>
      <c r="E15" s="8"/>
      <c r="F15" s="8"/>
      <c r="G15" s="8"/>
      <c r="H15" s="9"/>
      <c r="I15" s="9"/>
    </row>
    <row r="16" spans="1:23" ht="30" customHeight="1" x14ac:dyDescent="0.2">
      <c r="C16" s="32"/>
      <c r="D16" s="32"/>
      <c r="E16" s="8"/>
      <c r="F16" s="8"/>
      <c r="G16" s="8"/>
      <c r="H16" s="9"/>
      <c r="I16" s="9"/>
    </row>
    <row r="17" spans="3:9" ht="30" customHeight="1" x14ac:dyDescent="0.2">
      <c r="C17" s="32"/>
      <c r="D17" s="32"/>
      <c r="E17" s="8"/>
      <c r="F17" s="8"/>
      <c r="G17" s="8"/>
      <c r="H17" s="9"/>
      <c r="I17" s="9"/>
    </row>
    <row r="18" spans="3:9" ht="30" customHeight="1" x14ac:dyDescent="0.2">
      <c r="C18" s="32"/>
      <c r="D18" s="32"/>
      <c r="E18" s="8"/>
      <c r="F18" s="8"/>
      <c r="G18" s="8"/>
      <c r="H18" s="9"/>
      <c r="I18" s="9"/>
    </row>
    <row r="19" spans="3:9" ht="30" customHeight="1" x14ac:dyDescent="0.2">
      <c r="C19" s="32"/>
      <c r="D19" s="32"/>
      <c r="E19" s="8"/>
      <c r="F19" s="8"/>
      <c r="G19" s="8"/>
      <c r="H19" s="9"/>
      <c r="I19" s="9"/>
    </row>
    <row r="20" spans="3:9" ht="30" customHeight="1" x14ac:dyDescent="0.2">
      <c r="C20" s="32"/>
      <c r="D20" s="32"/>
      <c r="E20" s="8"/>
      <c r="F20" s="8"/>
      <c r="G20" s="8"/>
      <c r="H20" s="9"/>
      <c r="I20" s="9"/>
    </row>
    <row r="21" spans="3:9" ht="30" customHeight="1" x14ac:dyDescent="0.2">
      <c r="C21" s="32"/>
      <c r="D21" s="32"/>
      <c r="E21" s="8"/>
      <c r="F21" s="8"/>
      <c r="G21" s="8"/>
      <c r="H21" s="9"/>
      <c r="I21" s="9"/>
    </row>
    <row r="22" spans="3:9" ht="30" customHeight="1" x14ac:dyDescent="0.2">
      <c r="C22" s="32"/>
      <c r="D22" s="32"/>
      <c r="E22" s="8"/>
      <c r="F22" s="8"/>
      <c r="G22" s="8"/>
      <c r="H22" s="9"/>
      <c r="I22" s="9"/>
    </row>
    <row r="23" spans="3:9" ht="30" customHeight="1" x14ac:dyDescent="0.2">
      <c r="C23" s="32"/>
      <c r="D23" s="32"/>
      <c r="E23" s="8"/>
      <c r="F23" s="8"/>
      <c r="G23" s="8"/>
      <c r="H23" s="9"/>
      <c r="I23" s="9"/>
    </row>
    <row r="24" spans="3:9" ht="30" customHeight="1" x14ac:dyDescent="0.2">
      <c r="C24" s="32"/>
      <c r="D24" s="32"/>
      <c r="E24" s="8"/>
      <c r="F24" s="8"/>
      <c r="G24" s="8"/>
      <c r="H24" s="9"/>
      <c r="I24" s="9"/>
    </row>
    <row r="25" spans="3:9" ht="30" customHeight="1" x14ac:dyDescent="0.2">
      <c r="C25" s="32"/>
      <c r="D25" s="32"/>
      <c r="E25" s="8"/>
      <c r="F25" s="8"/>
      <c r="G25" s="8"/>
      <c r="H25" s="9"/>
      <c r="I25" s="9"/>
    </row>
    <row r="26" spans="3:9" ht="14.25" customHeight="1" x14ac:dyDescent="0.2"/>
    <row r="27" spans="3:9" ht="14.25" customHeight="1" x14ac:dyDescent="0.2"/>
    <row r="28" spans="3:9" ht="14.25" customHeight="1" x14ac:dyDescent="0.2"/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318E6A-9191-4D4B-BE0F-7970729F97EF}">
          <x14:formula1>
            <xm:f>EQUIPE!$C$6:$C$12</xm:f>
          </x14:formula1>
          <xm:sqref>E6:E25</xm:sqref>
        </x14:dataValidation>
        <x14:dataValidation type="list" allowBlank="1" showInputMessage="1" showErrorMessage="1" xr:uid="{6382CC75-6F4A-4221-983E-59B1AC2FB6D7}">
          <x14:formula1>
            <xm:f>LISTAS!$G$6:$G$14</xm:f>
          </x14:formula1>
          <xm:sqref>F6:F25</xm:sqref>
        </x14:dataValidation>
        <x14:dataValidation type="list" allowBlank="1" showInputMessage="1" showErrorMessage="1" xr:uid="{A7EBDF08-32E5-4605-A748-928800AE0490}">
          <x14:formula1>
            <xm:f>BACKLOG!$C$7:$C$47</xm:f>
          </x14:formula1>
          <xm:sqref>C6:C21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EBE48-8E5E-4AE1-9CA8-20A48C1372E7}">
  <sheetPr codeName="Planilha6"/>
  <dimension ref="A1:T67"/>
  <sheetViews>
    <sheetView showGridLines="0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14.85546875" style="1" bestFit="1" customWidth="1"/>
    <col min="4" max="4" width="14.5703125" style="1" bestFit="1" customWidth="1"/>
    <col min="5" max="5" width="17.85546875" style="1" bestFit="1" customWidth="1"/>
    <col min="6" max="6" width="16.7109375" style="1" customWidth="1"/>
    <col min="7" max="7" width="15.7109375" style="1" bestFit="1" customWidth="1"/>
    <col min="8" max="9" width="10.7109375" style="1" customWidth="1"/>
    <col min="10" max="10" width="21" style="1" bestFit="1" customWidth="1"/>
    <col min="11" max="11" width="27.28515625" style="1" bestFit="1" customWidth="1"/>
    <col min="12" max="12" width="18.85546875" style="1" bestFit="1" customWidth="1"/>
    <col min="13" max="13" width="7" style="1" bestFit="1" customWidth="1"/>
    <col min="14" max="14" width="19.5703125" style="1" bestFit="1" customWidth="1"/>
    <col min="15" max="15" width="22.7109375" style="1" bestFit="1" customWidth="1"/>
    <col min="16" max="16" width="8.85546875" style="1" bestFit="1" customWidth="1"/>
    <col min="17" max="18" width="11.85546875" style="1" bestFit="1" customWidth="1"/>
    <col min="19" max="16384" width="9.140625" style="1"/>
  </cols>
  <sheetData>
    <row r="1" spans="1:20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0" ht="30" customHeight="1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ht="44.25" customHeight="1" x14ac:dyDescent="0.2">
      <c r="A3" s="57" t="s">
        <v>103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16"/>
      <c r="S3" s="16"/>
      <c r="T3" s="16"/>
    </row>
    <row r="4" spans="1:20" ht="15.75" customHeight="1" x14ac:dyDescent="0.2"/>
    <row r="5" spans="1:20" ht="24.2" customHeight="1" x14ac:dyDescent="0.2">
      <c r="C5" s="40" t="s">
        <v>104</v>
      </c>
      <c r="D5" s="42">
        <v>44081</v>
      </c>
      <c r="E5" s="40" t="s">
        <v>105</v>
      </c>
      <c r="F5" s="42">
        <v>44101</v>
      </c>
    </row>
    <row r="6" spans="1:20" ht="24.2" customHeight="1" x14ac:dyDescent="0.2">
      <c r="C6" s="40" t="s">
        <v>106</v>
      </c>
      <c r="D6" s="41">
        <f>IFERROR((F5-D5),"")</f>
        <v>20</v>
      </c>
      <c r="E6" s="40" t="s">
        <v>107</v>
      </c>
      <c r="F6" s="42">
        <v>44089</v>
      </c>
    </row>
    <row r="7" spans="1:20" ht="15.75" customHeight="1" x14ac:dyDescent="0.2"/>
    <row r="8" spans="1:20" s="39" customFormat="1" ht="25.35" customHeight="1" x14ac:dyDescent="0.25">
      <c r="C8" s="43" t="s">
        <v>27</v>
      </c>
      <c r="D8" s="43" t="s">
        <v>28</v>
      </c>
      <c r="E8" s="44" t="s">
        <v>29</v>
      </c>
      <c r="F8" s="44" t="s">
        <v>30</v>
      </c>
      <c r="G8" s="43" t="s">
        <v>25</v>
      </c>
    </row>
    <row r="9" spans="1:20" ht="20.25" customHeight="1" x14ac:dyDescent="0.2">
      <c r="C9" s="7">
        <v>1</v>
      </c>
      <c r="D9" s="45">
        <f>D5</f>
        <v>44081</v>
      </c>
      <c r="E9" s="46">
        <f>SUM('SPRINT 0'!G6:G174)</f>
        <v>0</v>
      </c>
      <c r="F9" s="47">
        <f>SUMIF('SPRINT 0'!$I$6:$I$174,D9,'SPRINT 0'!$G$6:$G$174)</f>
        <v>0</v>
      </c>
      <c r="G9" s="47">
        <f>E9-F9</f>
        <v>0</v>
      </c>
      <c r="H9" s="4"/>
    </row>
    <row r="10" spans="1:20" ht="20.25" customHeight="1" x14ac:dyDescent="0.2">
      <c r="C10" s="7">
        <v>2</v>
      </c>
      <c r="D10" s="45">
        <f t="shared" ref="D10:D28" si="0">D9+1</f>
        <v>44082</v>
      </c>
      <c r="E10" s="47">
        <f>E9-$E$9/($D$6-1)</f>
        <v>0</v>
      </c>
      <c r="F10" s="47">
        <f>SUMIF('SPRINT 0'!$I$6:$I$174,D10,'SPRINT 0'!$G$6:$G$174)</f>
        <v>0</v>
      </c>
      <c r="G10" s="47">
        <f>IFERROR(IF(D10&lt;=$F$6,G9-F10),"")</f>
        <v>0</v>
      </c>
    </row>
    <row r="11" spans="1:20" ht="20.25" customHeight="1" x14ac:dyDescent="0.2">
      <c r="C11" s="7">
        <v>3</v>
      </c>
      <c r="D11" s="45">
        <f t="shared" si="0"/>
        <v>44083</v>
      </c>
      <c r="E11" s="47">
        <f t="shared" ref="E11:E28" si="1">E10-$E$9/($D$6-1)</f>
        <v>0</v>
      </c>
      <c r="F11" s="47">
        <f>SUMIF('SPRINT 0'!$I$6:$I$174,D11,'SPRINT 0'!$G$6:$G$174)</f>
        <v>0</v>
      </c>
      <c r="G11" s="47">
        <f t="shared" ref="G11:G28" si="2">IFERROR(IF(D11&lt;=$F$6,G10-F11),"")</f>
        <v>0</v>
      </c>
    </row>
    <row r="12" spans="1:20" ht="20.25" customHeight="1" x14ac:dyDescent="0.2">
      <c r="C12" s="7">
        <v>4</v>
      </c>
      <c r="D12" s="45">
        <f t="shared" si="0"/>
        <v>44084</v>
      </c>
      <c r="E12" s="47">
        <f t="shared" si="1"/>
        <v>0</v>
      </c>
      <c r="F12" s="47">
        <f>SUMIF('SPRINT 0'!$I$6:$I$174,D12,'SPRINT 0'!$G$6:$G$174)</f>
        <v>0</v>
      </c>
      <c r="G12" s="47">
        <f t="shared" si="2"/>
        <v>0</v>
      </c>
    </row>
    <row r="13" spans="1:20" ht="20.25" customHeight="1" x14ac:dyDescent="0.2">
      <c r="C13" s="7">
        <v>5</v>
      </c>
      <c r="D13" s="45">
        <f t="shared" si="0"/>
        <v>44085</v>
      </c>
      <c r="E13" s="47">
        <f t="shared" si="1"/>
        <v>0</v>
      </c>
      <c r="F13" s="47">
        <f>SUMIF('SPRINT 0'!$I$6:$I$174,D13,'SPRINT 0'!$G$6:$G$174)</f>
        <v>0</v>
      </c>
      <c r="G13" s="47">
        <f t="shared" si="2"/>
        <v>0</v>
      </c>
    </row>
    <row r="14" spans="1:20" ht="20.25" customHeight="1" x14ac:dyDescent="0.2">
      <c r="C14" s="7">
        <v>6</v>
      </c>
      <c r="D14" s="45">
        <f t="shared" si="0"/>
        <v>44086</v>
      </c>
      <c r="E14" s="47">
        <f t="shared" si="1"/>
        <v>0</v>
      </c>
      <c r="F14" s="47">
        <f>SUMIF('SPRINT 0'!$I$6:$I$174,D14,'SPRINT 0'!$G$6:$G$174)</f>
        <v>0</v>
      </c>
      <c r="G14" s="47">
        <f t="shared" si="2"/>
        <v>0</v>
      </c>
    </row>
    <row r="15" spans="1:20" ht="20.25" customHeight="1" x14ac:dyDescent="0.2">
      <c r="C15" s="7">
        <v>7</v>
      </c>
      <c r="D15" s="45">
        <f t="shared" si="0"/>
        <v>44087</v>
      </c>
      <c r="E15" s="47">
        <f t="shared" si="1"/>
        <v>0</v>
      </c>
      <c r="F15" s="47">
        <f>SUMIF('SPRINT 0'!$I$6:$I$174,D15,'SPRINT 0'!$G$6:$G$174)</f>
        <v>0</v>
      </c>
      <c r="G15" s="47">
        <f t="shared" si="2"/>
        <v>0</v>
      </c>
    </row>
    <row r="16" spans="1:20" ht="20.25" customHeight="1" x14ac:dyDescent="0.2">
      <c r="C16" s="7">
        <v>8</v>
      </c>
      <c r="D16" s="45">
        <f t="shared" si="0"/>
        <v>44088</v>
      </c>
      <c r="E16" s="47">
        <f t="shared" si="1"/>
        <v>0</v>
      </c>
      <c r="F16" s="47">
        <f>SUMIF('SPRINT 0'!$I$6:$I$174,D16,'SPRINT 0'!$G$6:$G$174)</f>
        <v>0</v>
      </c>
      <c r="G16" s="47">
        <f t="shared" si="2"/>
        <v>0</v>
      </c>
    </row>
    <row r="17" spans="3:18" ht="20.25" customHeight="1" x14ac:dyDescent="0.2">
      <c r="C17" s="7">
        <v>9</v>
      </c>
      <c r="D17" s="45">
        <f t="shared" si="0"/>
        <v>44089</v>
      </c>
      <c r="E17" s="47">
        <f t="shared" si="1"/>
        <v>0</v>
      </c>
      <c r="F17" s="47">
        <f>SUMIF('SPRINT 0'!$I$6:$I$174,D17,'SPRINT 0'!$G$6:$G$174)</f>
        <v>0</v>
      </c>
      <c r="G17" s="47">
        <f t="shared" si="2"/>
        <v>0</v>
      </c>
    </row>
    <row r="18" spans="3:18" ht="15" x14ac:dyDescent="0.25">
      <c r="C18" s="7">
        <v>10</v>
      </c>
      <c r="D18" s="45">
        <f t="shared" si="0"/>
        <v>44090</v>
      </c>
      <c r="E18" s="47">
        <f t="shared" si="1"/>
        <v>0</v>
      </c>
      <c r="F18" s="47">
        <f>SUMIF('SPRINT 0'!$I$6:$I$174,D18,'SPRINT 0'!$G$6:$G$174)</f>
        <v>0</v>
      </c>
      <c r="G18" s="47" t="b">
        <f t="shared" si="2"/>
        <v>0</v>
      </c>
      <c r="J18"/>
      <c r="K18"/>
    </row>
    <row r="19" spans="3:18" ht="20.25" customHeight="1" x14ac:dyDescent="0.2">
      <c r="C19" s="7">
        <v>11</v>
      </c>
      <c r="D19" s="45">
        <f t="shared" si="0"/>
        <v>44091</v>
      </c>
      <c r="E19" s="47">
        <f t="shared" si="1"/>
        <v>0</v>
      </c>
      <c r="F19" s="47">
        <f>SUMIF('SPRINT 0'!$I$6:$I$174,D19,'SPRINT 0'!$G$6:$G$174)</f>
        <v>0</v>
      </c>
      <c r="G19" s="47" t="b">
        <f t="shared" si="2"/>
        <v>0</v>
      </c>
    </row>
    <row r="20" spans="3:18" ht="15" x14ac:dyDescent="0.25">
      <c r="C20" s="7">
        <v>12</v>
      </c>
      <c r="D20" s="45">
        <f t="shared" si="0"/>
        <v>44092</v>
      </c>
      <c r="E20" s="47">
        <f t="shared" si="1"/>
        <v>0</v>
      </c>
      <c r="F20" s="47">
        <f>SUMIF('SPRINT 0'!$I$6:$I$174,D20,'SPRINT 0'!$G$6:$G$174)</f>
        <v>0</v>
      </c>
      <c r="G20" s="47" t="b">
        <f t="shared" si="2"/>
        <v>0</v>
      </c>
      <c r="J20" s="48" t="s">
        <v>110</v>
      </c>
      <c r="K20" t="s">
        <v>111</v>
      </c>
      <c r="L20"/>
      <c r="M20"/>
      <c r="N20"/>
      <c r="O20"/>
      <c r="P20"/>
      <c r="Q20"/>
      <c r="R20"/>
    </row>
    <row r="21" spans="3:18" ht="15" x14ac:dyDescent="0.25">
      <c r="C21" s="7">
        <v>13</v>
      </c>
      <c r="D21" s="45">
        <f t="shared" si="0"/>
        <v>44093</v>
      </c>
      <c r="E21" s="47">
        <f t="shared" si="1"/>
        <v>0</v>
      </c>
      <c r="F21" s="47">
        <f>SUMIF('SPRINT 0'!$I$6:$I$174,D21,'SPRINT 0'!$G$6:$G$174)</f>
        <v>0</v>
      </c>
      <c r="G21" s="47" t="b">
        <f t="shared" si="2"/>
        <v>0</v>
      </c>
      <c r="J21" s="49" t="s">
        <v>10</v>
      </c>
      <c r="K21" s="51">
        <v>1</v>
      </c>
      <c r="L21"/>
      <c r="M21"/>
      <c r="N21"/>
      <c r="O21"/>
      <c r="P21"/>
      <c r="Q21"/>
      <c r="R21"/>
    </row>
    <row r="22" spans="3:18" ht="15" x14ac:dyDescent="0.25">
      <c r="C22" s="7">
        <v>14</v>
      </c>
      <c r="D22" s="45">
        <f t="shared" si="0"/>
        <v>44094</v>
      </c>
      <c r="E22" s="47">
        <f t="shared" si="1"/>
        <v>0</v>
      </c>
      <c r="F22" s="47">
        <f>SUMIF('SPRINT 0'!$I$6:$I$174,D22,'SPRINT 0'!$G$6:$G$174)</f>
        <v>0</v>
      </c>
      <c r="G22" s="47" t="b">
        <f t="shared" si="2"/>
        <v>0</v>
      </c>
      <c r="J22" s="50" t="s">
        <v>68</v>
      </c>
      <c r="K22" s="51">
        <v>1</v>
      </c>
      <c r="L22"/>
      <c r="M22"/>
      <c r="N22"/>
      <c r="O22"/>
      <c r="P22"/>
      <c r="Q22"/>
      <c r="R22"/>
    </row>
    <row r="23" spans="3:18" ht="15" x14ac:dyDescent="0.25">
      <c r="C23" s="7">
        <v>15</v>
      </c>
      <c r="D23" s="45">
        <f t="shared" si="0"/>
        <v>44095</v>
      </c>
      <c r="E23" s="47">
        <f t="shared" si="1"/>
        <v>0</v>
      </c>
      <c r="F23" s="47">
        <f>SUMIF('SPRINT 0'!$I$6:$I$174,D23,'SPRINT 0'!$G$6:$G$174)</f>
        <v>0</v>
      </c>
      <c r="G23" s="47" t="b">
        <f t="shared" si="2"/>
        <v>0</v>
      </c>
      <c r="J23" s="49" t="s">
        <v>11</v>
      </c>
      <c r="K23" s="51">
        <v>1</v>
      </c>
      <c r="L23"/>
      <c r="M23"/>
      <c r="N23"/>
      <c r="O23"/>
      <c r="P23"/>
      <c r="Q23"/>
      <c r="R23"/>
    </row>
    <row r="24" spans="3:18" ht="15" x14ac:dyDescent="0.25">
      <c r="C24" s="7">
        <v>16</v>
      </c>
      <c r="D24" s="45">
        <f t="shared" si="0"/>
        <v>44096</v>
      </c>
      <c r="E24" s="47">
        <f t="shared" si="1"/>
        <v>0</v>
      </c>
      <c r="F24" s="47">
        <f>SUMIF('SPRINT 0'!$I$6:$I$174,D24,'SPRINT 0'!$G$6:$G$174)</f>
        <v>0</v>
      </c>
      <c r="G24" s="47" t="b">
        <f t="shared" si="2"/>
        <v>0</v>
      </c>
      <c r="J24" s="50" t="s">
        <v>68</v>
      </c>
      <c r="K24" s="51">
        <v>1</v>
      </c>
      <c r="L24"/>
      <c r="M24"/>
      <c r="N24"/>
      <c r="O24"/>
      <c r="P24"/>
      <c r="Q24"/>
      <c r="R24"/>
    </row>
    <row r="25" spans="3:18" ht="15" x14ac:dyDescent="0.25">
      <c r="C25" s="7">
        <v>17</v>
      </c>
      <c r="D25" s="45">
        <f t="shared" si="0"/>
        <v>44097</v>
      </c>
      <c r="E25" s="47">
        <f t="shared" si="1"/>
        <v>0</v>
      </c>
      <c r="F25" s="47">
        <f>SUMIF('SPRINT 0'!$I$6:$I$174,D25,'SPRINT 0'!$G$6:$G$174)</f>
        <v>0</v>
      </c>
      <c r="G25" s="47" t="b">
        <f t="shared" si="2"/>
        <v>0</v>
      </c>
      <c r="J25" s="49" t="s">
        <v>12</v>
      </c>
      <c r="K25" s="51">
        <v>1</v>
      </c>
      <c r="L25"/>
      <c r="M25"/>
      <c r="N25"/>
      <c r="O25"/>
      <c r="P25"/>
      <c r="Q25"/>
      <c r="R25"/>
    </row>
    <row r="26" spans="3:18" ht="15" x14ac:dyDescent="0.25">
      <c r="C26" s="7">
        <v>18</v>
      </c>
      <c r="D26" s="45">
        <f t="shared" si="0"/>
        <v>44098</v>
      </c>
      <c r="E26" s="47">
        <f t="shared" si="1"/>
        <v>0</v>
      </c>
      <c r="F26" s="47">
        <f>SUMIF('SPRINT 0'!$I$6:$I$174,D26,'SPRINT 0'!$G$6:$G$174)</f>
        <v>0</v>
      </c>
      <c r="G26" s="47" t="b">
        <f t="shared" si="2"/>
        <v>0</v>
      </c>
      <c r="J26" s="50" t="s">
        <v>6</v>
      </c>
      <c r="K26" s="51">
        <v>1</v>
      </c>
      <c r="L26"/>
      <c r="M26"/>
      <c r="N26"/>
      <c r="O26"/>
      <c r="P26"/>
      <c r="Q26"/>
      <c r="R26"/>
    </row>
    <row r="27" spans="3:18" ht="15" x14ac:dyDescent="0.25">
      <c r="C27" s="7">
        <v>19</v>
      </c>
      <c r="D27" s="45">
        <f t="shared" si="0"/>
        <v>44099</v>
      </c>
      <c r="E27" s="47">
        <f t="shared" si="1"/>
        <v>0</v>
      </c>
      <c r="F27" s="47">
        <f>SUMIF('SPRINT 0'!$I$6:$I$174,D27,'SPRINT 0'!$G$6:$G$174)</f>
        <v>0</v>
      </c>
      <c r="G27" s="47" t="b">
        <f t="shared" si="2"/>
        <v>0</v>
      </c>
      <c r="J27" s="49" t="s">
        <v>109</v>
      </c>
      <c r="K27" s="51"/>
      <c r="L27"/>
      <c r="M27"/>
      <c r="N27"/>
    </row>
    <row r="28" spans="3:18" ht="15" x14ac:dyDescent="0.25">
      <c r="C28" s="7">
        <v>20</v>
      </c>
      <c r="D28" s="45">
        <f t="shared" si="0"/>
        <v>44100</v>
      </c>
      <c r="E28" s="47">
        <f t="shared" si="1"/>
        <v>0</v>
      </c>
      <c r="F28" s="47">
        <f>SUMIF('SPRINT 0'!$I$6:$I$174,D28,'SPRINT 0'!$G$6:$G$174)</f>
        <v>0</v>
      </c>
      <c r="G28" s="47" t="b">
        <f t="shared" si="2"/>
        <v>0</v>
      </c>
      <c r="J28" s="50" t="s">
        <v>109</v>
      </c>
      <c r="K28" s="51"/>
      <c r="L28"/>
      <c r="M28"/>
      <c r="N28"/>
    </row>
    <row r="29" spans="3:18" ht="15" x14ac:dyDescent="0.25">
      <c r="D29" s="3"/>
      <c r="J29"/>
      <c r="K29"/>
      <c r="L29"/>
      <c r="M29"/>
      <c r="N29"/>
    </row>
    <row r="30" spans="3:18" ht="15" x14ac:dyDescent="0.25">
      <c r="J30"/>
      <c r="K30"/>
      <c r="L30"/>
    </row>
    <row r="31" spans="3:18" ht="15" x14ac:dyDescent="0.25">
      <c r="J31"/>
      <c r="K31"/>
      <c r="L31"/>
    </row>
    <row r="32" spans="3:18" ht="15" x14ac:dyDescent="0.25">
      <c r="F32" s="3"/>
      <c r="I32" s="3"/>
      <c r="J32"/>
      <c r="K32"/>
      <c r="L32"/>
    </row>
    <row r="33" spans="6:13" ht="15" x14ac:dyDescent="0.25">
      <c r="F33" s="3"/>
      <c r="I33" s="3"/>
      <c r="J33"/>
      <c r="K33"/>
      <c r="L33"/>
    </row>
    <row r="34" spans="6:13" ht="15" x14ac:dyDescent="0.25">
      <c r="F34" s="3"/>
      <c r="I34" s="3"/>
      <c r="J34"/>
      <c r="K34"/>
      <c r="L34"/>
    </row>
    <row r="35" spans="6:13" ht="15" x14ac:dyDescent="0.25">
      <c r="F35" s="3"/>
      <c r="I35" s="3"/>
      <c r="J35"/>
      <c r="K35"/>
      <c r="L35"/>
    </row>
    <row r="36" spans="6:13" ht="15" x14ac:dyDescent="0.25">
      <c r="F36" s="3"/>
      <c r="I36" s="3"/>
      <c r="J36"/>
      <c r="K36"/>
      <c r="L36"/>
    </row>
    <row r="37" spans="6:13" ht="15" x14ac:dyDescent="0.25">
      <c r="J37"/>
      <c r="K37"/>
      <c r="L37"/>
      <c r="M37" s="3"/>
    </row>
    <row r="38" spans="6:13" ht="20.25" customHeight="1" x14ac:dyDescent="0.2">
      <c r="J38" s="3"/>
      <c r="M38" s="3"/>
    </row>
    <row r="39" spans="6:13" ht="20.25" customHeight="1" x14ac:dyDescent="0.2">
      <c r="J39" s="3"/>
      <c r="M39" s="3"/>
    </row>
    <row r="40" spans="6:13" ht="20.25" customHeight="1" x14ac:dyDescent="0.2">
      <c r="J40" s="3"/>
      <c r="M40" s="3"/>
    </row>
    <row r="41" spans="6:13" ht="20.25" customHeight="1" x14ac:dyDescent="0.2">
      <c r="J41" s="3"/>
      <c r="M41" s="3"/>
    </row>
    <row r="42" spans="6:13" ht="20.25" customHeight="1" x14ac:dyDescent="0.2">
      <c r="J42" s="3"/>
      <c r="M42" s="3"/>
    </row>
    <row r="43" spans="6:13" ht="20.25" customHeight="1" x14ac:dyDescent="0.2">
      <c r="J43" s="3"/>
      <c r="M43" s="3"/>
    </row>
    <row r="44" spans="6:13" ht="20.25" customHeight="1" x14ac:dyDescent="0.2">
      <c r="J44" s="3"/>
      <c r="M44" s="3"/>
    </row>
    <row r="45" spans="6:13" ht="20.25" customHeight="1" x14ac:dyDescent="0.2">
      <c r="J45" s="3"/>
      <c r="M45" s="3"/>
    </row>
    <row r="46" spans="6:13" ht="20.25" customHeight="1" x14ac:dyDescent="0.2">
      <c r="J46" s="3"/>
      <c r="M46" s="3"/>
    </row>
    <row r="47" spans="6:13" ht="20.25" customHeight="1" x14ac:dyDescent="0.2">
      <c r="J47" s="3"/>
      <c r="M47" s="3"/>
    </row>
    <row r="48" spans="6:13" ht="20.25" customHeight="1" x14ac:dyDescent="0.2">
      <c r="J48" s="3"/>
      <c r="M48" s="3"/>
    </row>
    <row r="49" spans="10:13" ht="20.25" customHeight="1" x14ac:dyDescent="0.2">
      <c r="J49" s="3"/>
      <c r="M49" s="3"/>
    </row>
    <row r="50" spans="10:13" ht="20.25" customHeight="1" x14ac:dyDescent="0.2">
      <c r="J50" s="3"/>
      <c r="M50" s="3"/>
    </row>
    <row r="51" spans="10:13" ht="20.25" customHeight="1" x14ac:dyDescent="0.2">
      <c r="J51" s="3"/>
      <c r="M51" s="3"/>
    </row>
    <row r="52" spans="10:13" ht="20.25" customHeight="1" x14ac:dyDescent="0.2">
      <c r="J52" s="3"/>
      <c r="M52" s="3"/>
    </row>
    <row r="53" spans="10:13" ht="20.25" customHeight="1" x14ac:dyDescent="0.2">
      <c r="J53" s="3"/>
      <c r="M53" s="3"/>
    </row>
    <row r="54" spans="10:13" ht="20.25" customHeight="1" x14ac:dyDescent="0.2">
      <c r="J54" s="3"/>
      <c r="M54" s="3"/>
    </row>
    <row r="55" spans="10:13" ht="20.25" customHeight="1" x14ac:dyDescent="0.2">
      <c r="J55" s="3"/>
      <c r="M55" s="3"/>
    </row>
    <row r="56" spans="10:13" ht="20.25" customHeight="1" x14ac:dyDescent="0.2">
      <c r="J56" s="3"/>
      <c r="M56" s="3"/>
    </row>
    <row r="57" spans="10:13" ht="20.25" customHeight="1" x14ac:dyDescent="0.2">
      <c r="J57" s="3"/>
      <c r="M57" s="3"/>
    </row>
    <row r="58" spans="10:13" ht="20.25" customHeight="1" x14ac:dyDescent="0.2">
      <c r="J58" s="3"/>
      <c r="M58" s="3"/>
    </row>
    <row r="59" spans="10:13" x14ac:dyDescent="0.2">
      <c r="J59" s="3"/>
    </row>
    <row r="60" spans="10:13" x14ac:dyDescent="0.2">
      <c r="J60" s="3"/>
    </row>
    <row r="61" spans="10:13" x14ac:dyDescent="0.2">
      <c r="J61" s="3"/>
    </row>
    <row r="62" spans="10:13" x14ac:dyDescent="0.2">
      <c r="J62" s="3"/>
    </row>
    <row r="63" spans="10:13" x14ac:dyDescent="0.2">
      <c r="J63" s="3"/>
    </row>
    <row r="64" spans="10:13" x14ac:dyDescent="0.2">
      <c r="J64" s="3"/>
    </row>
    <row r="65" spans="10:10" x14ac:dyDescent="0.2">
      <c r="J65" s="3"/>
    </row>
    <row r="66" spans="10:10" x14ac:dyDescent="0.2">
      <c r="J66" s="3"/>
    </row>
    <row r="67" spans="10:10" x14ac:dyDescent="0.2">
      <c r="J67" s="3"/>
    </row>
  </sheetData>
  <mergeCells count="1">
    <mergeCell ref="A3:Q3"/>
  </mergeCells>
  <pageMargins left="0.7" right="0.7" top="0.75" bottom="0.75" header="0.3" footer="0.3"/>
  <pageSetup paperSize="9" orientation="portrait" r:id="rId2"/>
  <ignoredErrors>
    <ignoredError sqref="D9:E9" calculatedColumn="1"/>
  </ignoredErrors>
  <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E7D51-706E-4D7E-A4C5-AC9C12ED8AE7}">
  <sheetPr codeName="Planilha11"/>
  <dimension ref="A1:T67"/>
  <sheetViews>
    <sheetView showGridLines="0" tabSelected="1" topLeftCell="A7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14.85546875" style="1" bestFit="1" customWidth="1"/>
    <col min="4" max="4" width="14.5703125" style="1" bestFit="1" customWidth="1"/>
    <col min="5" max="5" width="17.85546875" style="1" bestFit="1" customWidth="1"/>
    <col min="6" max="6" width="16.7109375" style="1" customWidth="1"/>
    <col min="7" max="7" width="15.7109375" style="1" bestFit="1" customWidth="1"/>
    <col min="8" max="9" width="10.7109375" style="1" customWidth="1"/>
    <col min="10" max="10" width="21" style="1" bestFit="1" customWidth="1"/>
    <col min="11" max="11" width="27.28515625" style="1" bestFit="1" customWidth="1"/>
    <col min="12" max="12" width="18.85546875" style="1" bestFit="1" customWidth="1"/>
    <col min="13" max="13" width="7" style="1" bestFit="1" customWidth="1"/>
    <col min="14" max="14" width="19.5703125" style="1" bestFit="1" customWidth="1"/>
    <col min="15" max="15" width="22.7109375" style="1" bestFit="1" customWidth="1"/>
    <col min="16" max="16" width="8.85546875" style="1" bestFit="1" customWidth="1"/>
    <col min="17" max="18" width="11.85546875" style="1" bestFit="1" customWidth="1"/>
    <col min="19" max="16384" width="9.140625" style="1"/>
  </cols>
  <sheetData>
    <row r="1" spans="1:20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0" ht="30" customHeight="1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ht="44.25" customHeight="1" x14ac:dyDescent="0.2">
      <c r="A3" s="57" t="s">
        <v>103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16"/>
      <c r="S3" s="16"/>
      <c r="T3" s="16"/>
    </row>
    <row r="4" spans="1:20" ht="15.75" customHeight="1" x14ac:dyDescent="0.2"/>
    <row r="5" spans="1:20" ht="24.2" customHeight="1" x14ac:dyDescent="0.2">
      <c r="C5" s="40" t="s">
        <v>104</v>
      </c>
      <c r="D5" s="42">
        <v>44102</v>
      </c>
      <c r="E5" s="40" t="s">
        <v>105</v>
      </c>
      <c r="F5" s="42">
        <v>44121</v>
      </c>
    </row>
    <row r="6" spans="1:20" ht="24.2" customHeight="1" x14ac:dyDescent="0.2">
      <c r="C6" s="40" t="s">
        <v>106</v>
      </c>
      <c r="D6" s="41">
        <f>IFERROR((F5-D5),"")</f>
        <v>19</v>
      </c>
      <c r="E6" s="40" t="s">
        <v>107</v>
      </c>
      <c r="F6" s="42">
        <v>44120</v>
      </c>
    </row>
    <row r="7" spans="1:20" ht="15.75" customHeight="1" x14ac:dyDescent="0.2"/>
    <row r="8" spans="1:20" s="39" customFormat="1" ht="25.35" customHeight="1" x14ac:dyDescent="0.25">
      <c r="C8" s="43" t="s">
        <v>27</v>
      </c>
      <c r="D8" s="43" t="s">
        <v>28</v>
      </c>
      <c r="E8" s="44" t="s">
        <v>29</v>
      </c>
      <c r="F8" s="44" t="s">
        <v>30</v>
      </c>
      <c r="G8" s="43" t="s">
        <v>25</v>
      </c>
    </row>
    <row r="9" spans="1:20" ht="20.25" customHeight="1" x14ac:dyDescent="0.2">
      <c r="C9" s="7">
        <v>1</v>
      </c>
      <c r="D9" s="45">
        <f>D5</f>
        <v>44102</v>
      </c>
      <c r="E9" s="46">
        <f>SUM(Tabela84[Tempo Estimável (h)])</f>
        <v>65</v>
      </c>
      <c r="F9" s="47">
        <f>SUMIF(Tabela84[Data Término],D9,Tabela84[Tempo Estimável (h)])</f>
        <v>0</v>
      </c>
      <c r="G9" s="47">
        <f>E9-F9</f>
        <v>65</v>
      </c>
      <c r="H9" s="4"/>
    </row>
    <row r="10" spans="1:20" ht="20.25" customHeight="1" x14ac:dyDescent="0.2">
      <c r="C10" s="7">
        <v>2</v>
      </c>
      <c r="D10" s="45">
        <f t="shared" ref="D10:D27" si="0">D9+1</f>
        <v>44103</v>
      </c>
      <c r="E10" s="47">
        <f>E9-$E$9/($D$6-1)</f>
        <v>61.388888888888886</v>
      </c>
      <c r="F10" s="47">
        <f>SUMIF(Tabela84[Data Término],D10,Tabela84[Tempo Estimável (h)])</f>
        <v>0</v>
      </c>
      <c r="G10" s="47">
        <f>IF(D10&lt;=$F$6,G9-F10)</f>
        <v>65</v>
      </c>
    </row>
    <row r="11" spans="1:20" ht="20.25" customHeight="1" x14ac:dyDescent="0.2">
      <c r="C11" s="7">
        <v>3</v>
      </c>
      <c r="D11" s="45">
        <f t="shared" si="0"/>
        <v>44104</v>
      </c>
      <c r="E11" s="47">
        <f t="shared" ref="E11:E27" si="1">E10-$E$9/($D$6-1)</f>
        <v>57.777777777777771</v>
      </c>
      <c r="F11" s="47">
        <f>SUMIF(Tabela84[Data Término],D11,Tabela84[Tempo Estimável (h)])</f>
        <v>0</v>
      </c>
      <c r="G11" s="47">
        <f t="shared" ref="G11:G27" si="2">IF(D11&lt;=$F$6,G10-F11)</f>
        <v>65</v>
      </c>
    </row>
    <row r="12" spans="1:20" ht="20.25" customHeight="1" x14ac:dyDescent="0.2">
      <c r="C12" s="7">
        <v>4</v>
      </c>
      <c r="D12" s="45">
        <f t="shared" si="0"/>
        <v>44105</v>
      </c>
      <c r="E12" s="47">
        <f t="shared" si="1"/>
        <v>54.166666666666657</v>
      </c>
      <c r="F12" s="47">
        <f>SUMIF(Tabela84[Data Término],D12,Tabela84[Tempo Estimável (h)])</f>
        <v>0</v>
      </c>
      <c r="G12" s="47">
        <f t="shared" si="2"/>
        <v>65</v>
      </c>
    </row>
    <row r="13" spans="1:20" ht="20.25" customHeight="1" x14ac:dyDescent="0.2">
      <c r="C13" s="7">
        <v>5</v>
      </c>
      <c r="D13" s="45">
        <f t="shared" si="0"/>
        <v>44106</v>
      </c>
      <c r="E13" s="47">
        <f t="shared" si="1"/>
        <v>50.555555555555543</v>
      </c>
      <c r="F13" s="47">
        <f>SUMIF(Tabela84[Data Término],D13,Tabela84[Tempo Estimável (h)])</f>
        <v>0</v>
      </c>
      <c r="G13" s="47">
        <f t="shared" si="2"/>
        <v>65</v>
      </c>
    </row>
    <row r="14" spans="1:20" ht="20.25" customHeight="1" x14ac:dyDescent="0.2">
      <c r="C14" s="7">
        <v>6</v>
      </c>
      <c r="D14" s="45">
        <f t="shared" si="0"/>
        <v>44107</v>
      </c>
      <c r="E14" s="47">
        <f t="shared" si="1"/>
        <v>46.944444444444429</v>
      </c>
      <c r="F14" s="47">
        <f>SUMIF(Tabela84[Data Término],D14,Tabela84[Tempo Estimável (h)])</f>
        <v>0</v>
      </c>
      <c r="G14" s="47">
        <f t="shared" si="2"/>
        <v>65</v>
      </c>
    </row>
    <row r="15" spans="1:20" ht="20.25" customHeight="1" x14ac:dyDescent="0.2">
      <c r="C15" s="7">
        <v>7</v>
      </c>
      <c r="D15" s="45">
        <f t="shared" si="0"/>
        <v>44108</v>
      </c>
      <c r="E15" s="47">
        <f t="shared" si="1"/>
        <v>43.333333333333314</v>
      </c>
      <c r="F15" s="47">
        <f>SUMIF(Tabela84[Data Término],D15,Tabela84[Tempo Estimável (h)])</f>
        <v>0</v>
      </c>
      <c r="G15" s="47">
        <f t="shared" si="2"/>
        <v>65</v>
      </c>
    </row>
    <row r="16" spans="1:20" ht="20.25" customHeight="1" x14ac:dyDescent="0.2">
      <c r="C16" s="7">
        <v>8</v>
      </c>
      <c r="D16" s="45">
        <f t="shared" si="0"/>
        <v>44109</v>
      </c>
      <c r="E16" s="47">
        <f t="shared" si="1"/>
        <v>39.7222222222222</v>
      </c>
      <c r="F16" s="47">
        <f>SUMIF(Tabela84[Data Término],D16,Tabela84[Tempo Estimável (h)])</f>
        <v>0</v>
      </c>
      <c r="G16" s="47">
        <f t="shared" si="2"/>
        <v>65</v>
      </c>
    </row>
    <row r="17" spans="3:18" ht="20.25" customHeight="1" x14ac:dyDescent="0.2">
      <c r="C17" s="7">
        <v>9</v>
      </c>
      <c r="D17" s="45">
        <f t="shared" si="0"/>
        <v>44110</v>
      </c>
      <c r="E17" s="47">
        <f t="shared" si="1"/>
        <v>36.111111111111086</v>
      </c>
      <c r="F17" s="47">
        <f>SUMIF(Tabela84[Data Término],D17,Tabela84[Tempo Estimável (h)])</f>
        <v>0</v>
      </c>
      <c r="G17" s="47">
        <f t="shared" si="2"/>
        <v>65</v>
      </c>
    </row>
    <row r="18" spans="3:18" ht="15" x14ac:dyDescent="0.25">
      <c r="C18" s="7">
        <v>10</v>
      </c>
      <c r="D18" s="45">
        <f t="shared" si="0"/>
        <v>44111</v>
      </c>
      <c r="E18" s="47">
        <f t="shared" si="1"/>
        <v>32.499999999999972</v>
      </c>
      <c r="F18" s="47">
        <f>SUMIF(Tabela84[Data Término],D18,Tabela84[Tempo Estimável (h)])</f>
        <v>0</v>
      </c>
      <c r="G18" s="47">
        <f t="shared" si="2"/>
        <v>65</v>
      </c>
      <c r="J18"/>
      <c r="K18"/>
    </row>
    <row r="19" spans="3:18" ht="20.25" customHeight="1" x14ac:dyDescent="0.2">
      <c r="C19" s="7">
        <v>11</v>
      </c>
      <c r="D19" s="45">
        <f t="shared" si="0"/>
        <v>44112</v>
      </c>
      <c r="E19" s="47">
        <f t="shared" si="1"/>
        <v>28.888888888888861</v>
      </c>
      <c r="F19" s="47">
        <f>SUMIF(Tabela84[Data Término],D19,Tabela84[Tempo Estimável (h)])</f>
        <v>0</v>
      </c>
      <c r="G19" s="47">
        <f t="shared" si="2"/>
        <v>65</v>
      </c>
    </row>
    <row r="20" spans="3:18" ht="15" x14ac:dyDescent="0.25">
      <c r="C20" s="7">
        <v>12</v>
      </c>
      <c r="D20" s="45">
        <f t="shared" si="0"/>
        <v>44113</v>
      </c>
      <c r="E20" s="47">
        <f t="shared" si="1"/>
        <v>25.27777777777775</v>
      </c>
      <c r="F20" s="47">
        <f>SUMIF(Tabela84[Data Término],D20,Tabela84[Tempo Estimável (h)])</f>
        <v>0</v>
      </c>
      <c r="G20" s="47">
        <f t="shared" si="2"/>
        <v>65</v>
      </c>
      <c r="J20" s="48" t="s">
        <v>110</v>
      </c>
      <c r="K20" t="s">
        <v>111</v>
      </c>
      <c r="L20"/>
      <c r="M20"/>
      <c r="N20"/>
      <c r="O20"/>
      <c r="P20"/>
      <c r="Q20"/>
      <c r="R20"/>
    </row>
    <row r="21" spans="3:18" ht="15" x14ac:dyDescent="0.25">
      <c r="C21" s="7">
        <v>13</v>
      </c>
      <c r="D21" s="45">
        <f t="shared" si="0"/>
        <v>44114</v>
      </c>
      <c r="E21" s="47">
        <f t="shared" si="1"/>
        <v>21.666666666666639</v>
      </c>
      <c r="F21" s="47">
        <f>SUMIF(Tabela84[Data Término],D21,Tabela84[Tempo Estimável (h)])</f>
        <v>0</v>
      </c>
      <c r="G21" s="47">
        <f t="shared" si="2"/>
        <v>65</v>
      </c>
      <c r="J21" s="49" t="s">
        <v>10</v>
      </c>
      <c r="K21" s="51">
        <v>1</v>
      </c>
      <c r="L21"/>
      <c r="M21"/>
      <c r="N21"/>
      <c r="O21"/>
      <c r="P21"/>
      <c r="Q21"/>
      <c r="R21"/>
    </row>
    <row r="22" spans="3:18" ht="15" x14ac:dyDescent="0.25">
      <c r="C22" s="7">
        <v>14</v>
      </c>
      <c r="D22" s="45">
        <f t="shared" si="0"/>
        <v>44115</v>
      </c>
      <c r="E22" s="47">
        <f t="shared" si="1"/>
        <v>18.055555555555529</v>
      </c>
      <c r="F22" s="47">
        <f>SUMIF(Tabela84[Data Término],D22,Tabela84[Tempo Estimável (h)])</f>
        <v>0</v>
      </c>
      <c r="G22" s="47">
        <f t="shared" si="2"/>
        <v>65</v>
      </c>
      <c r="J22" s="49" t="s">
        <v>11</v>
      </c>
      <c r="K22" s="51">
        <v>1</v>
      </c>
      <c r="L22"/>
      <c r="M22"/>
      <c r="N22"/>
      <c r="O22"/>
      <c r="P22"/>
      <c r="Q22"/>
      <c r="R22"/>
    </row>
    <row r="23" spans="3:18" ht="15" x14ac:dyDescent="0.25">
      <c r="C23" s="7">
        <v>15</v>
      </c>
      <c r="D23" s="45">
        <f t="shared" si="0"/>
        <v>44116</v>
      </c>
      <c r="E23" s="47">
        <f t="shared" si="1"/>
        <v>14.444444444444418</v>
      </c>
      <c r="F23" s="47">
        <f>SUMIF(Tabela84[Data Término],D23,Tabela84[Tempo Estimável (h)])</f>
        <v>0</v>
      </c>
      <c r="G23" s="47">
        <f t="shared" si="2"/>
        <v>65</v>
      </c>
      <c r="J23" s="50" t="s">
        <v>69</v>
      </c>
      <c r="K23" s="51">
        <v>1</v>
      </c>
      <c r="L23"/>
      <c r="M23"/>
      <c r="N23"/>
      <c r="O23"/>
      <c r="P23"/>
      <c r="Q23"/>
      <c r="R23"/>
    </row>
    <row r="24" spans="3:18" ht="15" x14ac:dyDescent="0.25">
      <c r="C24" s="7">
        <v>16</v>
      </c>
      <c r="D24" s="45">
        <f t="shared" si="0"/>
        <v>44117</v>
      </c>
      <c r="E24" s="47">
        <f t="shared" si="1"/>
        <v>10.833333333333307</v>
      </c>
      <c r="F24" s="47">
        <f>SUMIF(Tabela84[Data Término],D24,Tabela84[Tempo Estimável (h)])</f>
        <v>6</v>
      </c>
      <c r="G24" s="47">
        <f t="shared" si="2"/>
        <v>59</v>
      </c>
      <c r="J24" s="49" t="s">
        <v>9</v>
      </c>
      <c r="K24" s="51">
        <v>2</v>
      </c>
      <c r="L24"/>
      <c r="M24"/>
      <c r="N24"/>
      <c r="O24"/>
      <c r="P24"/>
      <c r="Q24"/>
      <c r="R24"/>
    </row>
    <row r="25" spans="3:18" ht="15" x14ac:dyDescent="0.25">
      <c r="C25" s="7">
        <v>17</v>
      </c>
      <c r="D25" s="45">
        <f t="shared" si="0"/>
        <v>44118</v>
      </c>
      <c r="E25" s="47">
        <f t="shared" si="1"/>
        <v>7.2222222222221966</v>
      </c>
      <c r="F25" s="47">
        <f>SUMIF(Tabela84[Data Término],D25,Tabela84[Tempo Estimável (h)])</f>
        <v>5</v>
      </c>
      <c r="G25" s="47">
        <f t="shared" si="2"/>
        <v>54</v>
      </c>
      <c r="J25" s="50" t="s">
        <v>69</v>
      </c>
      <c r="K25" s="51">
        <v>2</v>
      </c>
      <c r="L25"/>
      <c r="M25"/>
      <c r="N25"/>
      <c r="O25"/>
      <c r="P25"/>
      <c r="Q25"/>
      <c r="R25"/>
    </row>
    <row r="26" spans="3:18" ht="15" x14ac:dyDescent="0.25">
      <c r="C26" s="7">
        <v>18</v>
      </c>
      <c r="D26" s="45">
        <f t="shared" si="0"/>
        <v>44119</v>
      </c>
      <c r="E26" s="47">
        <f t="shared" si="1"/>
        <v>3.6111111111110854</v>
      </c>
      <c r="F26" s="47">
        <f>SUMIF(Tabela84[Data Término],D26,Tabela84[Tempo Estimável (h)])</f>
        <v>6</v>
      </c>
      <c r="G26" s="47">
        <f t="shared" si="2"/>
        <v>48</v>
      </c>
      <c r="J26" s="49" t="s">
        <v>12</v>
      </c>
      <c r="K26" s="51">
        <v>1</v>
      </c>
      <c r="L26"/>
      <c r="M26"/>
      <c r="N26"/>
      <c r="O26"/>
      <c r="P26"/>
      <c r="Q26"/>
      <c r="R26"/>
    </row>
    <row r="27" spans="3:18" ht="15" x14ac:dyDescent="0.25">
      <c r="C27" s="7">
        <v>19</v>
      </c>
      <c r="D27" s="45">
        <f t="shared" si="0"/>
        <v>44120</v>
      </c>
      <c r="E27" s="47">
        <f t="shared" si="1"/>
        <v>-2.5757174171303632E-14</v>
      </c>
      <c r="F27" s="47">
        <f>SUMIF(Tabela84[Data Término],D27,Tabela84[Tempo Estimável (h)])</f>
        <v>48</v>
      </c>
      <c r="G27" s="47">
        <f t="shared" si="2"/>
        <v>0</v>
      </c>
      <c r="J27" s="50" t="s">
        <v>5</v>
      </c>
      <c r="K27" s="51">
        <v>1</v>
      </c>
      <c r="L27"/>
      <c r="M27"/>
      <c r="N27"/>
    </row>
    <row r="28" spans="3:18" ht="15" x14ac:dyDescent="0.25">
      <c r="D28" s="3"/>
      <c r="J28" s="49" t="s">
        <v>31</v>
      </c>
      <c r="K28" s="51">
        <v>1</v>
      </c>
      <c r="L28"/>
      <c r="M28"/>
      <c r="N28"/>
    </row>
    <row r="29" spans="3:18" ht="15" x14ac:dyDescent="0.25">
      <c r="J29" s="50" t="s">
        <v>5</v>
      </c>
      <c r="K29" s="51">
        <v>1</v>
      </c>
      <c r="L29"/>
      <c r="M29"/>
      <c r="N29"/>
    </row>
    <row r="30" spans="3:18" ht="15" x14ac:dyDescent="0.25">
      <c r="J30" s="49" t="s">
        <v>8</v>
      </c>
      <c r="K30" s="51">
        <v>1</v>
      </c>
      <c r="L30"/>
    </row>
    <row r="31" spans="3:18" ht="15" x14ac:dyDescent="0.25">
      <c r="F31" s="3"/>
      <c r="J31" s="50" t="s">
        <v>5</v>
      </c>
      <c r="K31" s="51">
        <v>1</v>
      </c>
      <c r="L31"/>
    </row>
    <row r="32" spans="3:18" ht="15" x14ac:dyDescent="0.25">
      <c r="F32" s="3"/>
      <c r="I32" s="3"/>
      <c r="J32" s="49" t="s">
        <v>13</v>
      </c>
      <c r="K32" s="51">
        <v>1</v>
      </c>
      <c r="L32"/>
    </row>
    <row r="33" spans="6:13" ht="15" x14ac:dyDescent="0.25">
      <c r="F33" s="3"/>
      <c r="I33" s="3"/>
      <c r="J33" s="50" t="s">
        <v>5</v>
      </c>
      <c r="K33" s="51">
        <v>1</v>
      </c>
      <c r="L33"/>
    </row>
    <row r="34" spans="6:13" ht="15" x14ac:dyDescent="0.25">
      <c r="F34" s="3"/>
      <c r="I34" s="3"/>
      <c r="J34"/>
      <c r="K34"/>
      <c r="L34"/>
    </row>
    <row r="35" spans="6:13" ht="15" x14ac:dyDescent="0.25">
      <c r="F35" s="3"/>
      <c r="I35" s="3"/>
      <c r="J35"/>
      <c r="K35"/>
      <c r="L35"/>
    </row>
    <row r="36" spans="6:13" ht="15" x14ac:dyDescent="0.25">
      <c r="I36" s="3"/>
      <c r="J36"/>
      <c r="K36"/>
      <c r="L36"/>
    </row>
    <row r="37" spans="6:13" ht="15" x14ac:dyDescent="0.25">
      <c r="J37"/>
      <c r="K37"/>
      <c r="L37"/>
      <c r="M37" s="3"/>
    </row>
    <row r="38" spans="6:13" ht="20.25" customHeight="1" x14ac:dyDescent="0.2">
      <c r="J38" s="3"/>
      <c r="M38" s="3"/>
    </row>
    <row r="39" spans="6:13" ht="20.25" customHeight="1" x14ac:dyDescent="0.2">
      <c r="J39" s="3"/>
      <c r="M39" s="3"/>
    </row>
    <row r="40" spans="6:13" ht="20.25" customHeight="1" x14ac:dyDescent="0.2">
      <c r="J40" s="3"/>
      <c r="M40" s="3"/>
    </row>
    <row r="41" spans="6:13" ht="20.25" customHeight="1" x14ac:dyDescent="0.2">
      <c r="J41" s="3"/>
      <c r="M41" s="3"/>
    </row>
    <row r="42" spans="6:13" ht="20.25" customHeight="1" x14ac:dyDescent="0.2">
      <c r="J42" s="3"/>
      <c r="M42" s="3"/>
    </row>
    <row r="43" spans="6:13" ht="20.25" customHeight="1" x14ac:dyDescent="0.2">
      <c r="J43" s="3"/>
      <c r="M43" s="3"/>
    </row>
    <row r="44" spans="6:13" ht="20.25" customHeight="1" x14ac:dyDescent="0.2">
      <c r="J44" s="3"/>
      <c r="M44" s="3"/>
    </row>
    <row r="45" spans="6:13" ht="20.25" customHeight="1" x14ac:dyDescent="0.2">
      <c r="J45" s="3"/>
      <c r="M45" s="3"/>
    </row>
    <row r="46" spans="6:13" ht="20.25" customHeight="1" x14ac:dyDescent="0.2">
      <c r="J46" s="3"/>
      <c r="M46" s="3"/>
    </row>
    <row r="47" spans="6:13" ht="20.25" customHeight="1" x14ac:dyDescent="0.2">
      <c r="J47" s="3"/>
      <c r="M47" s="3"/>
    </row>
    <row r="48" spans="6:13" ht="20.25" customHeight="1" x14ac:dyDescent="0.2">
      <c r="J48" s="3"/>
      <c r="M48" s="3"/>
    </row>
    <row r="49" spans="10:13" ht="20.25" customHeight="1" x14ac:dyDescent="0.2">
      <c r="J49" s="3"/>
      <c r="M49" s="3"/>
    </row>
    <row r="50" spans="10:13" ht="20.25" customHeight="1" x14ac:dyDescent="0.2">
      <c r="J50" s="3"/>
      <c r="M50" s="3"/>
    </row>
    <row r="51" spans="10:13" ht="20.25" customHeight="1" x14ac:dyDescent="0.2">
      <c r="J51" s="3"/>
      <c r="M51" s="3"/>
    </row>
    <row r="52" spans="10:13" ht="20.25" customHeight="1" x14ac:dyDescent="0.2">
      <c r="J52" s="3"/>
      <c r="M52" s="3"/>
    </row>
    <row r="53" spans="10:13" ht="20.25" customHeight="1" x14ac:dyDescent="0.2">
      <c r="J53" s="3"/>
      <c r="M53" s="3"/>
    </row>
    <row r="54" spans="10:13" ht="20.25" customHeight="1" x14ac:dyDescent="0.2">
      <c r="J54" s="3"/>
      <c r="M54" s="3"/>
    </row>
    <row r="55" spans="10:13" ht="20.25" customHeight="1" x14ac:dyDescent="0.2">
      <c r="J55" s="3"/>
      <c r="M55" s="3"/>
    </row>
    <row r="56" spans="10:13" ht="20.25" customHeight="1" x14ac:dyDescent="0.2">
      <c r="J56" s="3"/>
      <c r="M56" s="3"/>
    </row>
    <row r="57" spans="10:13" ht="20.25" customHeight="1" x14ac:dyDescent="0.2">
      <c r="J57" s="3"/>
      <c r="M57" s="3"/>
    </row>
    <row r="58" spans="10:13" ht="20.25" customHeight="1" x14ac:dyDescent="0.2">
      <c r="J58" s="3"/>
      <c r="M58" s="3"/>
    </row>
    <row r="59" spans="10:13" x14ac:dyDescent="0.2">
      <c r="J59" s="3"/>
    </row>
    <row r="60" spans="10:13" x14ac:dyDescent="0.2">
      <c r="J60" s="3"/>
    </row>
    <row r="61" spans="10:13" x14ac:dyDescent="0.2">
      <c r="J61" s="3"/>
    </row>
    <row r="62" spans="10:13" x14ac:dyDescent="0.2">
      <c r="J62" s="3"/>
    </row>
    <row r="63" spans="10:13" x14ac:dyDescent="0.2">
      <c r="J63" s="3"/>
    </row>
    <row r="64" spans="10:13" x14ac:dyDescent="0.2">
      <c r="J64" s="3"/>
    </row>
    <row r="65" spans="10:10" x14ac:dyDescent="0.2">
      <c r="J65" s="3"/>
    </row>
    <row r="66" spans="10:10" x14ac:dyDescent="0.2">
      <c r="J66" s="3"/>
    </row>
    <row r="67" spans="10:10" x14ac:dyDescent="0.2">
      <c r="J67" s="3"/>
    </row>
  </sheetData>
  <mergeCells count="1">
    <mergeCell ref="A3:Q3"/>
  </mergeCell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1B1EB-A2A2-438C-A605-ACD1FAD10D4B}">
  <sheetPr codeName="Planilha12"/>
  <dimension ref="A1:T67"/>
  <sheetViews>
    <sheetView showGridLines="0" workbookViewId="0"/>
  </sheetViews>
  <sheetFormatPr defaultRowHeight="14.25" x14ac:dyDescent="0.2"/>
  <cols>
    <col min="1" max="1" width="2.28515625" style="1" customWidth="1"/>
    <col min="2" max="2" width="1.42578125" style="1" customWidth="1"/>
    <col min="3" max="3" width="14.85546875" style="1" bestFit="1" customWidth="1"/>
    <col min="4" max="4" width="14.5703125" style="1" bestFit="1" customWidth="1"/>
    <col min="5" max="5" width="17.85546875" style="1" bestFit="1" customWidth="1"/>
    <col min="6" max="6" width="16.7109375" style="1" customWidth="1"/>
    <col min="7" max="7" width="15.7109375" style="1" bestFit="1" customWidth="1"/>
    <col min="8" max="9" width="10.7109375" style="1" customWidth="1"/>
    <col min="10" max="10" width="21" style="1" bestFit="1" customWidth="1"/>
    <col min="11" max="11" width="27.28515625" style="1" bestFit="1" customWidth="1"/>
    <col min="12" max="12" width="18.85546875" style="1" bestFit="1" customWidth="1"/>
    <col min="13" max="13" width="7" style="1" bestFit="1" customWidth="1"/>
    <col min="14" max="14" width="19.5703125" style="1" bestFit="1" customWidth="1"/>
    <col min="15" max="15" width="22.7109375" style="1" bestFit="1" customWidth="1"/>
    <col min="16" max="16" width="8.85546875" style="1" bestFit="1" customWidth="1"/>
    <col min="17" max="18" width="11.85546875" style="1" bestFit="1" customWidth="1"/>
    <col min="19" max="16384" width="9.140625" style="1"/>
  </cols>
  <sheetData>
    <row r="1" spans="1:20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0" ht="30" customHeight="1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ht="44.25" customHeight="1" x14ac:dyDescent="0.2">
      <c r="A3" s="57" t="s">
        <v>103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16"/>
      <c r="S3" s="16"/>
      <c r="T3" s="16"/>
    </row>
    <row r="4" spans="1:20" ht="15.75" customHeight="1" x14ac:dyDescent="0.2"/>
    <row r="5" spans="1:20" ht="24.2" customHeight="1" x14ac:dyDescent="0.2">
      <c r="C5" s="40" t="s">
        <v>104</v>
      </c>
      <c r="D5" s="42">
        <v>44123</v>
      </c>
      <c r="E5" s="40" t="s">
        <v>105</v>
      </c>
      <c r="F5" s="42">
        <v>44143</v>
      </c>
    </row>
    <row r="6" spans="1:20" ht="24.2" customHeight="1" x14ac:dyDescent="0.2">
      <c r="C6" s="40" t="s">
        <v>106</v>
      </c>
      <c r="D6" s="52">
        <f>IFERROR((F5-D5),"")</f>
        <v>20</v>
      </c>
      <c r="E6" s="40" t="s">
        <v>107</v>
      </c>
      <c r="F6" s="42">
        <v>44120</v>
      </c>
    </row>
    <row r="7" spans="1:20" ht="15.75" customHeight="1" x14ac:dyDescent="0.2"/>
    <row r="8" spans="1:20" s="39" customFormat="1" ht="25.35" customHeight="1" x14ac:dyDescent="0.25">
      <c r="C8" s="43" t="s">
        <v>27</v>
      </c>
      <c r="D8" s="43" t="s">
        <v>28</v>
      </c>
      <c r="E8" s="44" t="s">
        <v>29</v>
      </c>
      <c r="F8" s="44" t="s">
        <v>30</v>
      </c>
      <c r="G8" s="43" t="s">
        <v>25</v>
      </c>
    </row>
    <row r="9" spans="1:20" ht="20.25" customHeight="1" x14ac:dyDescent="0.2">
      <c r="C9" s="7">
        <v>1</v>
      </c>
      <c r="D9" s="45">
        <f>D5</f>
        <v>44123</v>
      </c>
      <c r="E9" s="46">
        <f>SUM('SPRINT 2'!G6:G175)</f>
        <v>0</v>
      </c>
      <c r="F9" s="47">
        <f>SUMIF('SPRINT 2'!$I$6:$I$175,D9,'SPRINT 2'!$G$6:$G$175)</f>
        <v>0</v>
      </c>
      <c r="G9" s="47">
        <f>E9-F9</f>
        <v>0</v>
      </c>
      <c r="H9" s="4"/>
    </row>
    <row r="10" spans="1:20" ht="20.25" customHeight="1" x14ac:dyDescent="0.2">
      <c r="C10" s="7">
        <v>2</v>
      </c>
      <c r="D10" s="45">
        <f t="shared" ref="D10:D28" si="0">D9+1</f>
        <v>44124</v>
      </c>
      <c r="E10" s="47">
        <f>E9-$E$9/($D$6-1)</f>
        <v>0</v>
      </c>
      <c r="F10" s="47">
        <f>SUMIF('SPRINT 2'!$I$6:$I$175,D10,'SPRINT 2'!$G$6:$G$175)</f>
        <v>0</v>
      </c>
      <c r="G10" s="47" t="b">
        <f>IF(D10&lt;=$F$6,G9-F10)</f>
        <v>0</v>
      </c>
    </row>
    <row r="11" spans="1:20" ht="20.25" customHeight="1" x14ac:dyDescent="0.2">
      <c r="C11" s="7">
        <v>3</v>
      </c>
      <c r="D11" s="45">
        <f t="shared" si="0"/>
        <v>44125</v>
      </c>
      <c r="E11" s="47">
        <f t="shared" ref="E11:E28" si="1">E10-$E$9/($D$6-1)</f>
        <v>0</v>
      </c>
      <c r="F11" s="47">
        <f>SUMIF('SPRINT 2'!$I$6:$I$175,D11,'SPRINT 2'!$G$6:$G$175)</f>
        <v>0</v>
      </c>
      <c r="G11" s="47" t="b">
        <f t="shared" ref="G11:G28" si="2">IF(D11&lt;=$F$6,G10-F11)</f>
        <v>0</v>
      </c>
    </row>
    <row r="12" spans="1:20" ht="20.25" customHeight="1" x14ac:dyDescent="0.2">
      <c r="C12" s="7">
        <v>4</v>
      </c>
      <c r="D12" s="45">
        <f t="shared" si="0"/>
        <v>44126</v>
      </c>
      <c r="E12" s="47">
        <f t="shared" si="1"/>
        <v>0</v>
      </c>
      <c r="F12" s="47">
        <f>SUMIF('SPRINT 2'!$I$6:$I$175,D12,'SPRINT 2'!$G$6:$G$175)</f>
        <v>0</v>
      </c>
      <c r="G12" s="47" t="b">
        <f t="shared" si="2"/>
        <v>0</v>
      </c>
    </row>
    <row r="13" spans="1:20" ht="20.25" customHeight="1" x14ac:dyDescent="0.2">
      <c r="C13" s="7">
        <v>5</v>
      </c>
      <c r="D13" s="45">
        <f t="shared" si="0"/>
        <v>44127</v>
      </c>
      <c r="E13" s="47">
        <f t="shared" si="1"/>
        <v>0</v>
      </c>
      <c r="F13" s="47">
        <f>SUMIF('SPRINT 2'!$I$6:$I$175,D13,'SPRINT 2'!$G$6:$G$175)</f>
        <v>0</v>
      </c>
      <c r="G13" s="47" t="b">
        <f t="shared" si="2"/>
        <v>0</v>
      </c>
    </row>
    <row r="14" spans="1:20" ht="20.25" customHeight="1" x14ac:dyDescent="0.2">
      <c r="C14" s="7">
        <v>6</v>
      </c>
      <c r="D14" s="45">
        <f t="shared" si="0"/>
        <v>44128</v>
      </c>
      <c r="E14" s="47">
        <f t="shared" si="1"/>
        <v>0</v>
      </c>
      <c r="F14" s="47">
        <f>SUMIF('SPRINT 2'!$I$6:$I$175,D14,'SPRINT 2'!$G$6:$G$175)</f>
        <v>0</v>
      </c>
      <c r="G14" s="47" t="b">
        <f t="shared" si="2"/>
        <v>0</v>
      </c>
    </row>
    <row r="15" spans="1:20" ht="20.25" customHeight="1" x14ac:dyDescent="0.2">
      <c r="C15" s="7">
        <v>7</v>
      </c>
      <c r="D15" s="45">
        <f t="shared" si="0"/>
        <v>44129</v>
      </c>
      <c r="E15" s="47">
        <f t="shared" si="1"/>
        <v>0</v>
      </c>
      <c r="F15" s="47">
        <f>SUMIF('SPRINT 2'!$I$6:$I$175,D15,'SPRINT 2'!$G$6:$G$175)</f>
        <v>0</v>
      </c>
      <c r="G15" s="47" t="b">
        <f t="shared" si="2"/>
        <v>0</v>
      </c>
    </row>
    <row r="16" spans="1:20" ht="20.25" customHeight="1" x14ac:dyDescent="0.2">
      <c r="C16" s="7">
        <v>8</v>
      </c>
      <c r="D16" s="45">
        <f t="shared" si="0"/>
        <v>44130</v>
      </c>
      <c r="E16" s="47">
        <f t="shared" si="1"/>
        <v>0</v>
      </c>
      <c r="F16" s="47">
        <f>SUMIF('SPRINT 2'!$I$6:$I$175,D16,'SPRINT 2'!$G$6:$G$175)</f>
        <v>0</v>
      </c>
      <c r="G16" s="47" t="b">
        <f t="shared" si="2"/>
        <v>0</v>
      </c>
    </row>
    <row r="17" spans="3:18" ht="20.25" customHeight="1" x14ac:dyDescent="0.2">
      <c r="C17" s="7">
        <v>9</v>
      </c>
      <c r="D17" s="45">
        <f t="shared" si="0"/>
        <v>44131</v>
      </c>
      <c r="E17" s="47">
        <f t="shared" si="1"/>
        <v>0</v>
      </c>
      <c r="F17" s="47">
        <f>SUMIF('SPRINT 2'!$I$6:$I$175,D17,'SPRINT 2'!$G$6:$G$175)</f>
        <v>0</v>
      </c>
      <c r="G17" s="47" t="b">
        <f t="shared" si="2"/>
        <v>0</v>
      </c>
    </row>
    <row r="18" spans="3:18" ht="15" x14ac:dyDescent="0.25">
      <c r="C18" s="7">
        <v>10</v>
      </c>
      <c r="D18" s="45">
        <f t="shared" si="0"/>
        <v>44132</v>
      </c>
      <c r="E18" s="47">
        <f t="shared" si="1"/>
        <v>0</v>
      </c>
      <c r="F18" s="47">
        <f>SUMIF('SPRINT 2'!$I$6:$I$175,D18,'SPRINT 2'!$G$6:$G$175)</f>
        <v>0</v>
      </c>
      <c r="G18" s="47" t="b">
        <f t="shared" si="2"/>
        <v>0</v>
      </c>
      <c r="J18"/>
      <c r="K18"/>
    </row>
    <row r="19" spans="3:18" ht="20.25" customHeight="1" x14ac:dyDescent="0.2">
      <c r="C19" s="7">
        <v>11</v>
      </c>
      <c r="D19" s="45">
        <f t="shared" si="0"/>
        <v>44133</v>
      </c>
      <c r="E19" s="47">
        <f t="shared" si="1"/>
        <v>0</v>
      </c>
      <c r="F19" s="47">
        <f>SUMIF('SPRINT 2'!$I$6:$I$175,D19,'SPRINT 2'!$G$6:$G$175)</f>
        <v>0</v>
      </c>
      <c r="G19" s="47" t="b">
        <f t="shared" si="2"/>
        <v>0</v>
      </c>
    </row>
    <row r="20" spans="3:18" ht="15" x14ac:dyDescent="0.25">
      <c r="C20" s="7">
        <v>12</v>
      </c>
      <c r="D20" s="45">
        <f t="shared" si="0"/>
        <v>44134</v>
      </c>
      <c r="E20" s="47">
        <f t="shared" si="1"/>
        <v>0</v>
      </c>
      <c r="F20" s="47">
        <f>SUMIF('SPRINT 2'!$I$6:$I$175,D20,'SPRINT 2'!$G$6:$G$175)</f>
        <v>0</v>
      </c>
      <c r="G20" s="47" t="b">
        <f t="shared" si="2"/>
        <v>0</v>
      </c>
      <c r="J20" s="48" t="s">
        <v>110</v>
      </c>
      <c r="K20" t="s">
        <v>111</v>
      </c>
      <c r="L20"/>
      <c r="M20"/>
      <c r="N20"/>
      <c r="O20"/>
      <c r="P20"/>
      <c r="Q20"/>
      <c r="R20"/>
    </row>
    <row r="21" spans="3:18" ht="15" x14ac:dyDescent="0.25">
      <c r="C21" s="7">
        <v>13</v>
      </c>
      <c r="D21" s="45">
        <f t="shared" si="0"/>
        <v>44135</v>
      </c>
      <c r="E21" s="47">
        <f t="shared" si="1"/>
        <v>0</v>
      </c>
      <c r="F21" s="47">
        <f>SUMIF('SPRINT 2'!$I$6:$I$175,D21,'SPRINT 2'!$G$6:$G$175)</f>
        <v>0</v>
      </c>
      <c r="G21" s="47" t="b">
        <f t="shared" si="2"/>
        <v>0</v>
      </c>
      <c r="J21" s="49" t="s">
        <v>10</v>
      </c>
      <c r="K21" s="51">
        <v>1</v>
      </c>
      <c r="L21"/>
      <c r="M21"/>
      <c r="N21"/>
      <c r="O21"/>
      <c r="P21"/>
      <c r="Q21"/>
      <c r="R21"/>
    </row>
    <row r="22" spans="3:18" ht="15" x14ac:dyDescent="0.25">
      <c r="C22" s="7">
        <v>14</v>
      </c>
      <c r="D22" s="45">
        <f t="shared" si="0"/>
        <v>44136</v>
      </c>
      <c r="E22" s="47">
        <f t="shared" si="1"/>
        <v>0</v>
      </c>
      <c r="F22" s="47">
        <f>SUMIF('SPRINT 2'!$I$6:$I$175,D22,'SPRINT 2'!$G$6:$G$175)</f>
        <v>0</v>
      </c>
      <c r="G22" s="47" t="b">
        <f t="shared" si="2"/>
        <v>0</v>
      </c>
      <c r="J22" s="50" t="s">
        <v>68</v>
      </c>
      <c r="K22" s="51">
        <v>1</v>
      </c>
      <c r="L22"/>
      <c r="M22"/>
      <c r="N22"/>
      <c r="O22"/>
      <c r="P22"/>
      <c r="Q22"/>
      <c r="R22"/>
    </row>
    <row r="23" spans="3:18" ht="15" x14ac:dyDescent="0.25">
      <c r="C23" s="7">
        <v>15</v>
      </c>
      <c r="D23" s="45">
        <f t="shared" si="0"/>
        <v>44137</v>
      </c>
      <c r="E23" s="47">
        <f t="shared" si="1"/>
        <v>0</v>
      </c>
      <c r="F23" s="47">
        <f>SUMIF('SPRINT 2'!$I$6:$I$175,D23,'SPRINT 2'!$G$6:$G$175)</f>
        <v>0</v>
      </c>
      <c r="G23" s="47" t="b">
        <f t="shared" si="2"/>
        <v>0</v>
      </c>
      <c r="J23" s="49" t="s">
        <v>11</v>
      </c>
      <c r="K23" s="51">
        <v>1</v>
      </c>
      <c r="L23"/>
      <c r="M23"/>
      <c r="N23"/>
      <c r="O23"/>
      <c r="P23"/>
      <c r="Q23"/>
      <c r="R23"/>
    </row>
    <row r="24" spans="3:18" ht="15" x14ac:dyDescent="0.25">
      <c r="C24" s="7">
        <v>16</v>
      </c>
      <c r="D24" s="45">
        <f t="shared" si="0"/>
        <v>44138</v>
      </c>
      <c r="E24" s="47">
        <f t="shared" si="1"/>
        <v>0</v>
      </c>
      <c r="F24" s="47">
        <f>SUMIF('SPRINT 2'!$I$6:$I$175,D24,'SPRINT 2'!$G$6:$G$175)</f>
        <v>0</v>
      </c>
      <c r="G24" s="47" t="b">
        <f t="shared" si="2"/>
        <v>0</v>
      </c>
      <c r="J24" s="50" t="s">
        <v>68</v>
      </c>
      <c r="K24" s="51">
        <v>1</v>
      </c>
      <c r="L24"/>
      <c r="M24"/>
      <c r="N24"/>
      <c r="O24"/>
      <c r="P24"/>
      <c r="Q24"/>
      <c r="R24"/>
    </row>
    <row r="25" spans="3:18" ht="15" x14ac:dyDescent="0.25">
      <c r="C25" s="7">
        <v>17</v>
      </c>
      <c r="D25" s="45">
        <f t="shared" si="0"/>
        <v>44139</v>
      </c>
      <c r="E25" s="47">
        <f t="shared" si="1"/>
        <v>0</v>
      </c>
      <c r="F25" s="47">
        <f>SUMIF('SPRINT 2'!$I$6:$I$175,D25,'SPRINT 2'!$G$6:$G$175)</f>
        <v>0</v>
      </c>
      <c r="G25" s="47" t="b">
        <f t="shared" si="2"/>
        <v>0</v>
      </c>
      <c r="J25" s="49" t="s">
        <v>109</v>
      </c>
      <c r="K25" s="51"/>
      <c r="L25"/>
      <c r="M25"/>
      <c r="N25"/>
      <c r="O25"/>
      <c r="P25"/>
      <c r="Q25"/>
      <c r="R25"/>
    </row>
    <row r="26" spans="3:18" ht="15" x14ac:dyDescent="0.25">
      <c r="C26" s="7">
        <v>18</v>
      </c>
      <c r="D26" s="45">
        <f t="shared" si="0"/>
        <v>44140</v>
      </c>
      <c r="E26" s="47">
        <f t="shared" si="1"/>
        <v>0</v>
      </c>
      <c r="F26" s="47">
        <f>SUMIF('SPRINT 2'!$I$6:$I$175,D26,'SPRINT 2'!$G$6:$G$175)</f>
        <v>0</v>
      </c>
      <c r="G26" s="47" t="b">
        <f t="shared" si="2"/>
        <v>0</v>
      </c>
      <c r="J26" s="50" t="s">
        <v>109</v>
      </c>
      <c r="K26" s="51"/>
      <c r="L26"/>
      <c r="M26"/>
      <c r="N26"/>
      <c r="O26"/>
      <c r="P26"/>
      <c r="Q26"/>
      <c r="R26"/>
    </row>
    <row r="27" spans="3:18" ht="15" x14ac:dyDescent="0.25">
      <c r="C27" s="7">
        <v>19</v>
      </c>
      <c r="D27" s="45">
        <f t="shared" si="0"/>
        <v>44141</v>
      </c>
      <c r="E27" s="47">
        <f t="shared" si="1"/>
        <v>0</v>
      </c>
      <c r="F27" s="47">
        <f>SUMIF('SPRINT 2'!$I$6:$I$175,D27,'SPRINT 2'!$G$6:$G$175)</f>
        <v>0</v>
      </c>
      <c r="G27" s="47" t="b">
        <f t="shared" si="2"/>
        <v>0</v>
      </c>
      <c r="J27"/>
      <c r="K27"/>
      <c r="L27"/>
      <c r="M27"/>
      <c r="N27"/>
    </row>
    <row r="28" spans="3:18" ht="15" x14ac:dyDescent="0.25">
      <c r="C28" s="7">
        <v>20</v>
      </c>
      <c r="D28" s="45">
        <f t="shared" si="0"/>
        <v>44142</v>
      </c>
      <c r="E28" s="47">
        <f t="shared" si="1"/>
        <v>0</v>
      </c>
      <c r="F28" s="47">
        <f>SUMIF('SPRINT 2'!$I$6:$I$175,D28,'SPRINT 2'!$G$6:$G$175)</f>
        <v>0</v>
      </c>
      <c r="G28" s="47" t="b">
        <f t="shared" si="2"/>
        <v>0</v>
      </c>
      <c r="J28"/>
      <c r="K28"/>
      <c r="L28"/>
      <c r="M28"/>
      <c r="N28"/>
    </row>
    <row r="29" spans="3:18" ht="15" x14ac:dyDescent="0.25">
      <c r="D29" s="3"/>
      <c r="J29"/>
      <c r="K29"/>
      <c r="L29"/>
      <c r="M29"/>
      <c r="N29"/>
    </row>
    <row r="30" spans="3:18" ht="15" x14ac:dyDescent="0.25">
      <c r="J30"/>
      <c r="K30"/>
      <c r="L30"/>
    </row>
    <row r="31" spans="3:18" ht="15" x14ac:dyDescent="0.25">
      <c r="J31"/>
      <c r="K31"/>
      <c r="L31"/>
    </row>
    <row r="32" spans="3:18" ht="15" x14ac:dyDescent="0.25">
      <c r="F32" s="3"/>
      <c r="I32" s="3"/>
      <c r="J32"/>
      <c r="K32"/>
      <c r="L32"/>
    </row>
    <row r="33" spans="6:13" ht="15" x14ac:dyDescent="0.25">
      <c r="F33" s="3"/>
      <c r="I33" s="3"/>
      <c r="J33"/>
      <c r="K33"/>
      <c r="L33"/>
    </row>
    <row r="34" spans="6:13" ht="15" x14ac:dyDescent="0.25">
      <c r="F34" s="3"/>
      <c r="I34" s="3"/>
      <c r="J34"/>
      <c r="K34"/>
      <c r="L34"/>
    </row>
    <row r="35" spans="6:13" ht="15" x14ac:dyDescent="0.25">
      <c r="F35" s="3"/>
      <c r="I35" s="3"/>
      <c r="J35"/>
      <c r="K35"/>
      <c r="L35"/>
    </row>
    <row r="36" spans="6:13" ht="15" x14ac:dyDescent="0.25">
      <c r="F36" s="3"/>
      <c r="I36" s="3"/>
      <c r="J36"/>
      <c r="K36"/>
      <c r="L36"/>
    </row>
    <row r="37" spans="6:13" ht="15" x14ac:dyDescent="0.25">
      <c r="J37"/>
      <c r="K37"/>
      <c r="L37"/>
      <c r="M37" s="3"/>
    </row>
    <row r="38" spans="6:13" ht="20.25" customHeight="1" x14ac:dyDescent="0.2">
      <c r="J38" s="3"/>
      <c r="M38" s="3"/>
    </row>
    <row r="39" spans="6:13" ht="20.25" customHeight="1" x14ac:dyDescent="0.2">
      <c r="J39" s="3"/>
      <c r="M39" s="3"/>
    </row>
    <row r="40" spans="6:13" ht="20.25" customHeight="1" x14ac:dyDescent="0.2">
      <c r="J40" s="3"/>
      <c r="M40" s="3"/>
    </row>
    <row r="41" spans="6:13" ht="20.25" customHeight="1" x14ac:dyDescent="0.2">
      <c r="J41" s="3"/>
      <c r="M41" s="3"/>
    </row>
    <row r="42" spans="6:13" ht="20.25" customHeight="1" x14ac:dyDescent="0.2">
      <c r="J42" s="3"/>
      <c r="M42" s="3"/>
    </row>
    <row r="43" spans="6:13" ht="20.25" customHeight="1" x14ac:dyDescent="0.2">
      <c r="J43" s="3"/>
      <c r="M43" s="3"/>
    </row>
    <row r="44" spans="6:13" ht="20.25" customHeight="1" x14ac:dyDescent="0.2">
      <c r="J44" s="3"/>
      <c r="M44" s="3"/>
    </row>
    <row r="45" spans="6:13" ht="20.25" customHeight="1" x14ac:dyDescent="0.2">
      <c r="J45" s="3"/>
      <c r="M45" s="3"/>
    </row>
    <row r="46" spans="6:13" ht="20.25" customHeight="1" x14ac:dyDescent="0.2">
      <c r="J46" s="3"/>
      <c r="M46" s="3"/>
    </row>
    <row r="47" spans="6:13" ht="20.25" customHeight="1" x14ac:dyDescent="0.2">
      <c r="J47" s="3"/>
      <c r="M47" s="3"/>
    </row>
    <row r="48" spans="6:13" ht="20.25" customHeight="1" x14ac:dyDescent="0.2">
      <c r="J48" s="3"/>
      <c r="M48" s="3"/>
    </row>
    <row r="49" spans="10:13" ht="20.25" customHeight="1" x14ac:dyDescent="0.2">
      <c r="J49" s="3"/>
      <c r="M49" s="3"/>
    </row>
    <row r="50" spans="10:13" ht="20.25" customHeight="1" x14ac:dyDescent="0.2">
      <c r="J50" s="3"/>
      <c r="M50" s="3"/>
    </row>
    <row r="51" spans="10:13" ht="20.25" customHeight="1" x14ac:dyDescent="0.2">
      <c r="J51" s="3"/>
      <c r="M51" s="3"/>
    </row>
    <row r="52" spans="10:13" ht="20.25" customHeight="1" x14ac:dyDescent="0.2">
      <c r="J52" s="3"/>
      <c r="M52" s="3"/>
    </row>
    <row r="53" spans="10:13" ht="20.25" customHeight="1" x14ac:dyDescent="0.2">
      <c r="J53" s="3"/>
      <c r="M53" s="3"/>
    </row>
    <row r="54" spans="10:13" ht="20.25" customHeight="1" x14ac:dyDescent="0.2">
      <c r="J54" s="3"/>
      <c r="M54" s="3"/>
    </row>
    <row r="55" spans="10:13" ht="20.25" customHeight="1" x14ac:dyDescent="0.2">
      <c r="J55" s="3"/>
      <c r="M55" s="3"/>
    </row>
    <row r="56" spans="10:13" ht="20.25" customHeight="1" x14ac:dyDescent="0.2">
      <c r="J56" s="3"/>
      <c r="M56" s="3"/>
    </row>
    <row r="57" spans="10:13" ht="20.25" customHeight="1" x14ac:dyDescent="0.2">
      <c r="J57" s="3"/>
      <c r="M57" s="3"/>
    </row>
    <row r="58" spans="10:13" ht="20.25" customHeight="1" x14ac:dyDescent="0.2">
      <c r="J58" s="3"/>
      <c r="M58" s="3"/>
    </row>
    <row r="59" spans="10:13" x14ac:dyDescent="0.2">
      <c r="J59" s="3"/>
    </row>
    <row r="60" spans="10:13" x14ac:dyDescent="0.2">
      <c r="J60" s="3"/>
    </row>
    <row r="61" spans="10:13" x14ac:dyDescent="0.2">
      <c r="J61" s="3"/>
    </row>
    <row r="62" spans="10:13" x14ac:dyDescent="0.2">
      <c r="J62" s="3"/>
    </row>
    <row r="63" spans="10:13" x14ac:dyDescent="0.2">
      <c r="J63" s="3"/>
    </row>
    <row r="64" spans="10:13" x14ac:dyDescent="0.2">
      <c r="J64" s="3"/>
    </row>
    <row r="65" spans="10:10" x14ac:dyDescent="0.2">
      <c r="J65" s="3"/>
    </row>
    <row r="66" spans="10:10" x14ac:dyDescent="0.2">
      <c r="J66" s="3"/>
    </row>
    <row r="67" spans="10:10" x14ac:dyDescent="0.2">
      <c r="J67" s="3"/>
    </row>
  </sheetData>
  <mergeCells count="1">
    <mergeCell ref="A3:Q3"/>
  </mergeCell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9F6EC-1BA7-436A-BB69-AB6256E52D89}">
  <sheetPr codeName="Planilha13"/>
  <dimension ref="A1:T67"/>
  <sheetViews>
    <sheetView showGridLines="0" workbookViewId="0">
      <selection activeCell="C6" sqref="C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4.85546875" style="1" bestFit="1" customWidth="1"/>
    <col min="4" max="4" width="14.5703125" style="1" bestFit="1" customWidth="1"/>
    <col min="5" max="5" width="17.85546875" style="1" bestFit="1" customWidth="1"/>
    <col min="6" max="6" width="16.7109375" style="1" customWidth="1"/>
    <col min="7" max="7" width="15.7109375" style="1" bestFit="1" customWidth="1"/>
    <col min="8" max="9" width="10.7109375" style="1" customWidth="1"/>
    <col min="10" max="10" width="21" style="1" bestFit="1" customWidth="1"/>
    <col min="11" max="11" width="27.28515625" style="1" bestFit="1" customWidth="1"/>
    <col min="12" max="12" width="18.85546875" style="1" bestFit="1" customWidth="1"/>
    <col min="13" max="13" width="7" style="1" bestFit="1" customWidth="1"/>
    <col min="14" max="14" width="19.5703125" style="1" bestFit="1" customWidth="1"/>
    <col min="15" max="15" width="22.7109375" style="1" bestFit="1" customWidth="1"/>
    <col min="16" max="16" width="8.85546875" style="1" bestFit="1" customWidth="1"/>
    <col min="17" max="18" width="11.85546875" style="1" bestFit="1" customWidth="1"/>
    <col min="19" max="16384" width="9.140625" style="1"/>
  </cols>
  <sheetData>
    <row r="1" spans="1:20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0" ht="30" customHeight="1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ht="44.25" customHeight="1" x14ac:dyDescent="0.2">
      <c r="A3" s="57" t="s">
        <v>103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16"/>
      <c r="S3" s="16"/>
      <c r="T3" s="16"/>
    </row>
    <row r="4" spans="1:20" ht="15.75" customHeight="1" x14ac:dyDescent="0.2"/>
    <row r="5" spans="1:20" ht="24.2" customHeight="1" x14ac:dyDescent="0.2">
      <c r="C5" s="40" t="s">
        <v>104</v>
      </c>
      <c r="D5" s="42">
        <v>44144</v>
      </c>
      <c r="E5" s="40" t="s">
        <v>105</v>
      </c>
      <c r="F5" s="42">
        <v>44164</v>
      </c>
    </row>
    <row r="6" spans="1:20" ht="24.2" customHeight="1" x14ac:dyDescent="0.2">
      <c r="C6" s="40" t="s">
        <v>106</v>
      </c>
      <c r="D6" s="41">
        <f>IFERROR((F5-D5),"")</f>
        <v>20</v>
      </c>
      <c r="E6" s="40" t="s">
        <v>107</v>
      </c>
      <c r="F6" s="42">
        <v>44120</v>
      </c>
    </row>
    <row r="7" spans="1:20" ht="15.75" customHeight="1" x14ac:dyDescent="0.2"/>
    <row r="8" spans="1:20" s="39" customFormat="1" ht="25.35" customHeight="1" x14ac:dyDescent="0.25">
      <c r="C8" s="43" t="s">
        <v>27</v>
      </c>
      <c r="D8" s="43" t="s">
        <v>28</v>
      </c>
      <c r="E8" s="44" t="s">
        <v>29</v>
      </c>
      <c r="F8" s="44" t="s">
        <v>30</v>
      </c>
      <c r="G8" s="43" t="s">
        <v>25</v>
      </c>
    </row>
    <row r="9" spans="1:20" ht="20.25" customHeight="1" x14ac:dyDescent="0.2">
      <c r="C9" s="7">
        <v>1</v>
      </c>
      <c r="D9" s="45">
        <f>D5</f>
        <v>44144</v>
      </c>
      <c r="E9" s="46">
        <f>SUM('SPRINT 3'!G6:G175)</f>
        <v>80</v>
      </c>
      <c r="F9" s="47">
        <f>SUMIF('SPRINT 3'!$I$6:$I$175,D9,'SPRINT 3'!$G$6:$G$175)</f>
        <v>0</v>
      </c>
      <c r="G9" s="47">
        <f>E9-F9</f>
        <v>80</v>
      </c>
      <c r="H9" s="4"/>
    </row>
    <row r="10" spans="1:20" ht="20.25" customHeight="1" x14ac:dyDescent="0.2">
      <c r="C10" s="7">
        <v>2</v>
      </c>
      <c r="D10" s="45">
        <f t="shared" ref="D10:D28" si="0">D9+1</f>
        <v>44145</v>
      </c>
      <c r="E10" s="47">
        <f>E9-$E$9/($D$6-1)</f>
        <v>75.78947368421052</v>
      </c>
      <c r="F10" s="47">
        <f>SUMIF('SPRINT 3'!$I$6:$I$175,D10,'SPRINT 3'!$G$6:$G$175)</f>
        <v>0</v>
      </c>
      <c r="G10" s="47" t="b">
        <f>IF(D10&lt;=$F$6,G9-F10)</f>
        <v>0</v>
      </c>
    </row>
    <row r="11" spans="1:20" ht="20.25" customHeight="1" x14ac:dyDescent="0.2">
      <c r="C11" s="7">
        <v>3</v>
      </c>
      <c r="D11" s="45">
        <f t="shared" si="0"/>
        <v>44146</v>
      </c>
      <c r="E11" s="47">
        <f t="shared" ref="E11:E28" si="1">E10-$E$9/($D$6-1)</f>
        <v>71.578947368421041</v>
      </c>
      <c r="F11" s="47">
        <f>SUMIF('SPRINT 3'!$I$6:$I$175,D11,'SPRINT 3'!$G$6:$G$175)</f>
        <v>0</v>
      </c>
      <c r="G11" s="47" t="b">
        <f t="shared" ref="G11:G28" si="2">IF(D11&lt;=$F$6,G10-F11)</f>
        <v>0</v>
      </c>
    </row>
    <row r="12" spans="1:20" ht="20.25" customHeight="1" x14ac:dyDescent="0.2">
      <c r="C12" s="7">
        <v>4</v>
      </c>
      <c r="D12" s="45">
        <f t="shared" si="0"/>
        <v>44147</v>
      </c>
      <c r="E12" s="47">
        <f t="shared" si="1"/>
        <v>67.368421052631561</v>
      </c>
      <c r="F12" s="47">
        <f>SUMIF('SPRINT 3'!$I$6:$I$175,D12,'SPRINT 3'!$G$6:$G$175)</f>
        <v>0</v>
      </c>
      <c r="G12" s="47" t="b">
        <f t="shared" si="2"/>
        <v>0</v>
      </c>
    </row>
    <row r="13" spans="1:20" ht="20.25" customHeight="1" x14ac:dyDescent="0.2">
      <c r="C13" s="7">
        <v>5</v>
      </c>
      <c r="D13" s="45">
        <f t="shared" si="0"/>
        <v>44148</v>
      </c>
      <c r="E13" s="47">
        <f t="shared" si="1"/>
        <v>63.157894736842088</v>
      </c>
      <c r="F13" s="47">
        <f>SUMIF('SPRINT 3'!$I$6:$I$175,D13,'SPRINT 3'!$G$6:$G$175)</f>
        <v>0</v>
      </c>
      <c r="G13" s="47" t="b">
        <f t="shared" si="2"/>
        <v>0</v>
      </c>
    </row>
    <row r="14" spans="1:20" ht="20.25" customHeight="1" x14ac:dyDescent="0.2">
      <c r="C14" s="7">
        <v>6</v>
      </c>
      <c r="D14" s="45">
        <f t="shared" si="0"/>
        <v>44149</v>
      </c>
      <c r="E14" s="47">
        <f t="shared" si="1"/>
        <v>58.947368421052616</v>
      </c>
      <c r="F14" s="47">
        <f>SUMIF('SPRINT 3'!$I$6:$I$175,D14,'SPRINT 3'!$G$6:$G$175)</f>
        <v>0</v>
      </c>
      <c r="G14" s="47" t="b">
        <f t="shared" si="2"/>
        <v>0</v>
      </c>
    </row>
    <row r="15" spans="1:20" ht="20.25" customHeight="1" x14ac:dyDescent="0.2">
      <c r="C15" s="7">
        <v>7</v>
      </c>
      <c r="D15" s="45">
        <f t="shared" si="0"/>
        <v>44150</v>
      </c>
      <c r="E15" s="47">
        <f t="shared" si="1"/>
        <v>54.736842105263143</v>
      </c>
      <c r="F15" s="47">
        <f>SUMIF('SPRINT 3'!$I$6:$I$175,D15,'SPRINT 3'!$G$6:$G$175)</f>
        <v>0</v>
      </c>
      <c r="G15" s="47" t="b">
        <f t="shared" si="2"/>
        <v>0</v>
      </c>
    </row>
    <row r="16" spans="1:20" ht="20.25" customHeight="1" x14ac:dyDescent="0.2">
      <c r="C16" s="7">
        <v>8</v>
      </c>
      <c r="D16" s="45">
        <f t="shared" si="0"/>
        <v>44151</v>
      </c>
      <c r="E16" s="47">
        <f t="shared" si="1"/>
        <v>50.526315789473671</v>
      </c>
      <c r="F16" s="47">
        <f>SUMIF('SPRINT 3'!$I$6:$I$175,D16,'SPRINT 3'!$G$6:$G$175)</f>
        <v>0</v>
      </c>
      <c r="G16" s="47" t="b">
        <f t="shared" si="2"/>
        <v>0</v>
      </c>
    </row>
    <row r="17" spans="3:18" ht="20.25" customHeight="1" x14ac:dyDescent="0.2">
      <c r="C17" s="7">
        <v>9</v>
      </c>
      <c r="D17" s="45">
        <f t="shared" si="0"/>
        <v>44152</v>
      </c>
      <c r="E17" s="47">
        <f t="shared" si="1"/>
        <v>46.315789473684198</v>
      </c>
      <c r="F17" s="47">
        <f>SUMIF('SPRINT 3'!$I$6:$I$175,D17,'SPRINT 3'!$G$6:$G$175)</f>
        <v>0</v>
      </c>
      <c r="G17" s="47" t="b">
        <f t="shared" si="2"/>
        <v>0</v>
      </c>
    </row>
    <row r="18" spans="3:18" ht="15" x14ac:dyDescent="0.25">
      <c r="C18" s="7">
        <v>10</v>
      </c>
      <c r="D18" s="45">
        <f t="shared" si="0"/>
        <v>44153</v>
      </c>
      <c r="E18" s="47">
        <f t="shared" si="1"/>
        <v>42.105263157894726</v>
      </c>
      <c r="F18" s="47">
        <f>SUMIF('SPRINT 3'!$I$6:$I$175,D18,'SPRINT 3'!$G$6:$G$175)</f>
        <v>0</v>
      </c>
      <c r="G18" s="47" t="b">
        <f t="shared" si="2"/>
        <v>0</v>
      </c>
      <c r="J18"/>
      <c r="K18"/>
    </row>
    <row r="19" spans="3:18" ht="20.25" customHeight="1" x14ac:dyDescent="0.2">
      <c r="C19" s="7">
        <v>11</v>
      </c>
      <c r="D19" s="45">
        <f t="shared" si="0"/>
        <v>44154</v>
      </c>
      <c r="E19" s="47">
        <f t="shared" si="1"/>
        <v>37.894736842105253</v>
      </c>
      <c r="F19" s="47">
        <f>SUMIF('SPRINT 3'!$I$6:$I$175,D19,'SPRINT 3'!$G$6:$G$175)</f>
        <v>0</v>
      </c>
      <c r="G19" s="47" t="b">
        <f t="shared" si="2"/>
        <v>0</v>
      </c>
    </row>
    <row r="20" spans="3:18" ht="15" x14ac:dyDescent="0.25">
      <c r="C20" s="7">
        <v>12</v>
      </c>
      <c r="D20" s="45">
        <f t="shared" si="0"/>
        <v>44155</v>
      </c>
      <c r="E20" s="47">
        <f t="shared" si="1"/>
        <v>33.68421052631578</v>
      </c>
      <c r="F20" s="47">
        <f>SUMIF('SPRINT 3'!$I$6:$I$175,D20,'SPRINT 3'!$G$6:$G$175)</f>
        <v>0</v>
      </c>
      <c r="G20" s="47" t="b">
        <f t="shared" si="2"/>
        <v>0</v>
      </c>
      <c r="J20" s="48" t="s">
        <v>110</v>
      </c>
      <c r="K20" t="s">
        <v>111</v>
      </c>
      <c r="L20"/>
      <c r="M20"/>
      <c r="N20"/>
      <c r="O20"/>
      <c r="P20"/>
      <c r="Q20"/>
      <c r="R20"/>
    </row>
    <row r="21" spans="3:18" ht="15" x14ac:dyDescent="0.25">
      <c r="C21" s="7">
        <v>13</v>
      </c>
      <c r="D21" s="45">
        <f t="shared" si="0"/>
        <v>44156</v>
      </c>
      <c r="E21" s="47">
        <f t="shared" si="1"/>
        <v>29.473684210526308</v>
      </c>
      <c r="F21" s="47">
        <f>SUMIF('SPRINT 3'!$I$6:$I$175,D21,'SPRINT 3'!$G$6:$G$175)</f>
        <v>0</v>
      </c>
      <c r="G21" s="47" t="b">
        <f t="shared" si="2"/>
        <v>0</v>
      </c>
      <c r="J21" s="49" t="s">
        <v>10</v>
      </c>
      <c r="K21" s="51">
        <v>1</v>
      </c>
      <c r="L21"/>
      <c r="M21"/>
      <c r="N21"/>
      <c r="O21"/>
      <c r="P21"/>
      <c r="Q21"/>
      <c r="R21"/>
    </row>
    <row r="22" spans="3:18" ht="15" x14ac:dyDescent="0.25">
      <c r="C22" s="7">
        <v>14</v>
      </c>
      <c r="D22" s="45">
        <f t="shared" si="0"/>
        <v>44157</v>
      </c>
      <c r="E22" s="47">
        <f t="shared" si="1"/>
        <v>25.263157894736835</v>
      </c>
      <c r="F22" s="47">
        <f>SUMIF('SPRINT 3'!$I$6:$I$175,D22,'SPRINT 3'!$G$6:$G$175)</f>
        <v>0</v>
      </c>
      <c r="G22" s="47" t="b">
        <f t="shared" si="2"/>
        <v>0</v>
      </c>
      <c r="J22" s="50" t="s">
        <v>68</v>
      </c>
      <c r="K22" s="51">
        <v>1</v>
      </c>
      <c r="L22"/>
      <c r="M22"/>
      <c r="N22"/>
      <c r="O22"/>
      <c r="P22"/>
      <c r="Q22"/>
      <c r="R22"/>
    </row>
    <row r="23" spans="3:18" ht="15" x14ac:dyDescent="0.25">
      <c r="C23" s="7">
        <v>15</v>
      </c>
      <c r="D23" s="45">
        <f t="shared" si="0"/>
        <v>44158</v>
      </c>
      <c r="E23" s="47">
        <f t="shared" si="1"/>
        <v>21.052631578947363</v>
      </c>
      <c r="F23" s="47">
        <f>SUMIF('SPRINT 3'!$I$6:$I$175,D23,'SPRINT 3'!$G$6:$G$175)</f>
        <v>0</v>
      </c>
      <c r="G23" s="47" t="b">
        <f t="shared" si="2"/>
        <v>0</v>
      </c>
      <c r="J23" s="49" t="s">
        <v>11</v>
      </c>
      <c r="K23" s="51">
        <v>1</v>
      </c>
      <c r="L23"/>
      <c r="M23"/>
      <c r="N23"/>
      <c r="O23"/>
      <c r="P23"/>
      <c r="Q23"/>
      <c r="R23"/>
    </row>
    <row r="24" spans="3:18" ht="15" x14ac:dyDescent="0.25">
      <c r="C24" s="7">
        <v>16</v>
      </c>
      <c r="D24" s="45">
        <f t="shared" si="0"/>
        <v>44159</v>
      </c>
      <c r="E24" s="47">
        <f t="shared" si="1"/>
        <v>16.84210526315789</v>
      </c>
      <c r="F24" s="47">
        <f>SUMIF('SPRINT 3'!$I$6:$I$175,D24,'SPRINT 3'!$G$6:$G$175)</f>
        <v>0</v>
      </c>
      <c r="G24" s="47" t="b">
        <f t="shared" si="2"/>
        <v>0</v>
      </c>
      <c r="J24" s="50" t="s">
        <v>68</v>
      </c>
      <c r="K24" s="51">
        <v>1</v>
      </c>
      <c r="L24"/>
      <c r="M24"/>
      <c r="N24"/>
      <c r="O24"/>
      <c r="P24"/>
      <c r="Q24"/>
      <c r="R24"/>
    </row>
    <row r="25" spans="3:18" ht="15" x14ac:dyDescent="0.25">
      <c r="C25" s="7">
        <v>17</v>
      </c>
      <c r="D25" s="45">
        <f t="shared" si="0"/>
        <v>44160</v>
      </c>
      <c r="E25" s="47">
        <f t="shared" si="1"/>
        <v>12.631578947368418</v>
      </c>
      <c r="F25" s="47">
        <f>SUMIF('SPRINT 3'!$I$6:$I$175,D25,'SPRINT 3'!$G$6:$G$175)</f>
        <v>0</v>
      </c>
      <c r="G25" s="47" t="b">
        <f t="shared" si="2"/>
        <v>0</v>
      </c>
      <c r="J25" s="49" t="s">
        <v>109</v>
      </c>
      <c r="K25" s="51"/>
      <c r="L25"/>
      <c r="M25"/>
      <c r="N25"/>
      <c r="O25"/>
      <c r="P25"/>
      <c r="Q25"/>
      <c r="R25"/>
    </row>
    <row r="26" spans="3:18" ht="15" x14ac:dyDescent="0.25">
      <c r="C26" s="7">
        <v>18</v>
      </c>
      <c r="D26" s="45">
        <f t="shared" si="0"/>
        <v>44161</v>
      </c>
      <c r="E26" s="47">
        <f t="shared" si="1"/>
        <v>8.4210526315789451</v>
      </c>
      <c r="F26" s="47">
        <f>SUMIF('SPRINT 3'!$I$6:$I$175,D26,'SPRINT 3'!$G$6:$G$175)</f>
        <v>0</v>
      </c>
      <c r="G26" s="47" t="b">
        <f t="shared" si="2"/>
        <v>0</v>
      </c>
      <c r="J26" s="50" t="s">
        <v>109</v>
      </c>
      <c r="K26" s="51"/>
      <c r="L26"/>
      <c r="M26"/>
      <c r="N26"/>
      <c r="O26"/>
      <c r="P26"/>
      <c r="Q26"/>
      <c r="R26"/>
    </row>
    <row r="27" spans="3:18" ht="15" x14ac:dyDescent="0.25">
      <c r="C27" s="7">
        <v>19</v>
      </c>
      <c r="D27" s="45">
        <f t="shared" si="0"/>
        <v>44162</v>
      </c>
      <c r="E27" s="47">
        <f t="shared" si="1"/>
        <v>4.2105263157894717</v>
      </c>
      <c r="F27" s="47">
        <f>SUMIF('SPRINT 3'!$I$6:$I$175,D27,'SPRINT 3'!$G$6:$G$175)</f>
        <v>0</v>
      </c>
      <c r="G27" s="47" t="b">
        <f t="shared" si="2"/>
        <v>0</v>
      </c>
      <c r="J27"/>
      <c r="K27"/>
      <c r="L27"/>
      <c r="M27"/>
      <c r="N27"/>
    </row>
    <row r="28" spans="3:18" ht="15" x14ac:dyDescent="0.25">
      <c r="C28" s="7">
        <v>20</v>
      </c>
      <c r="D28" s="45">
        <f t="shared" si="0"/>
        <v>44163</v>
      </c>
      <c r="E28" s="47">
        <f t="shared" si="1"/>
        <v>0</v>
      </c>
      <c r="F28" s="47">
        <f>SUMIF('SPRINT 3'!$I$6:$I$175,D28,'SPRINT 3'!$G$6:$G$175)</f>
        <v>0</v>
      </c>
      <c r="G28" s="47" t="b">
        <f t="shared" si="2"/>
        <v>0</v>
      </c>
      <c r="J28"/>
      <c r="K28"/>
      <c r="L28"/>
      <c r="M28"/>
      <c r="N28"/>
    </row>
    <row r="29" spans="3:18" ht="15" x14ac:dyDescent="0.25">
      <c r="D29" s="3"/>
      <c r="J29"/>
      <c r="K29"/>
      <c r="L29"/>
      <c r="M29"/>
      <c r="N29"/>
    </row>
    <row r="30" spans="3:18" ht="15" x14ac:dyDescent="0.25">
      <c r="J30"/>
      <c r="K30"/>
      <c r="L30"/>
    </row>
    <row r="31" spans="3:18" ht="15" x14ac:dyDescent="0.25">
      <c r="J31"/>
      <c r="K31"/>
      <c r="L31"/>
    </row>
    <row r="32" spans="3:18" ht="15" x14ac:dyDescent="0.25">
      <c r="F32" s="3"/>
      <c r="I32" s="3"/>
      <c r="J32"/>
      <c r="K32"/>
      <c r="L32"/>
    </row>
    <row r="33" spans="6:13" ht="15" x14ac:dyDescent="0.25">
      <c r="F33" s="3"/>
      <c r="I33" s="3"/>
      <c r="J33"/>
      <c r="K33"/>
      <c r="L33"/>
    </row>
    <row r="34" spans="6:13" ht="15" x14ac:dyDescent="0.25">
      <c r="F34" s="3"/>
      <c r="I34" s="3"/>
      <c r="J34"/>
      <c r="K34"/>
      <c r="L34"/>
    </row>
    <row r="35" spans="6:13" ht="15" x14ac:dyDescent="0.25">
      <c r="F35" s="3"/>
      <c r="I35" s="3"/>
      <c r="J35"/>
      <c r="K35"/>
      <c r="L35"/>
    </row>
    <row r="36" spans="6:13" ht="15" x14ac:dyDescent="0.25">
      <c r="F36" s="3"/>
      <c r="I36" s="3"/>
      <c r="J36"/>
      <c r="K36"/>
      <c r="L36"/>
    </row>
    <row r="37" spans="6:13" ht="15" x14ac:dyDescent="0.25">
      <c r="J37"/>
      <c r="K37"/>
      <c r="L37"/>
      <c r="M37" s="3"/>
    </row>
    <row r="38" spans="6:13" ht="20.25" customHeight="1" x14ac:dyDescent="0.2">
      <c r="J38" s="3"/>
      <c r="M38" s="3"/>
    </row>
    <row r="39" spans="6:13" ht="20.25" customHeight="1" x14ac:dyDescent="0.2">
      <c r="J39" s="3"/>
      <c r="M39" s="3"/>
    </row>
    <row r="40" spans="6:13" ht="20.25" customHeight="1" x14ac:dyDescent="0.2">
      <c r="J40" s="3"/>
      <c r="M40" s="3"/>
    </row>
    <row r="41" spans="6:13" ht="20.25" customHeight="1" x14ac:dyDescent="0.2">
      <c r="J41" s="3"/>
      <c r="M41" s="3"/>
    </row>
    <row r="42" spans="6:13" ht="20.25" customHeight="1" x14ac:dyDescent="0.2">
      <c r="J42" s="3"/>
      <c r="M42" s="3"/>
    </row>
    <row r="43" spans="6:13" ht="20.25" customHeight="1" x14ac:dyDescent="0.2">
      <c r="J43" s="3"/>
      <c r="M43" s="3"/>
    </row>
    <row r="44" spans="6:13" ht="20.25" customHeight="1" x14ac:dyDescent="0.2">
      <c r="J44" s="3"/>
      <c r="M44" s="3"/>
    </row>
    <row r="45" spans="6:13" ht="20.25" customHeight="1" x14ac:dyDescent="0.2">
      <c r="J45" s="3"/>
      <c r="M45" s="3"/>
    </row>
    <row r="46" spans="6:13" ht="20.25" customHeight="1" x14ac:dyDescent="0.2">
      <c r="J46" s="3"/>
      <c r="M46" s="3"/>
    </row>
    <row r="47" spans="6:13" ht="20.25" customHeight="1" x14ac:dyDescent="0.2">
      <c r="J47" s="3"/>
      <c r="M47" s="3"/>
    </row>
    <row r="48" spans="6:13" ht="20.25" customHeight="1" x14ac:dyDescent="0.2">
      <c r="J48" s="3"/>
      <c r="M48" s="3"/>
    </row>
    <row r="49" spans="10:13" ht="20.25" customHeight="1" x14ac:dyDescent="0.2">
      <c r="J49" s="3"/>
      <c r="M49" s="3"/>
    </row>
    <row r="50" spans="10:13" ht="20.25" customHeight="1" x14ac:dyDescent="0.2">
      <c r="J50" s="3"/>
      <c r="M50" s="3"/>
    </row>
    <row r="51" spans="10:13" ht="20.25" customHeight="1" x14ac:dyDescent="0.2">
      <c r="J51" s="3"/>
      <c r="M51" s="3"/>
    </row>
    <row r="52" spans="10:13" ht="20.25" customHeight="1" x14ac:dyDescent="0.2">
      <c r="J52" s="3"/>
      <c r="M52" s="3"/>
    </row>
    <row r="53" spans="10:13" ht="20.25" customHeight="1" x14ac:dyDescent="0.2">
      <c r="J53" s="3"/>
      <c r="M53" s="3"/>
    </row>
    <row r="54" spans="10:13" ht="20.25" customHeight="1" x14ac:dyDescent="0.2">
      <c r="J54" s="3"/>
      <c r="M54" s="3"/>
    </row>
    <row r="55" spans="10:13" ht="20.25" customHeight="1" x14ac:dyDescent="0.2">
      <c r="J55" s="3"/>
      <c r="M55" s="3"/>
    </row>
    <row r="56" spans="10:13" ht="20.25" customHeight="1" x14ac:dyDescent="0.2">
      <c r="J56" s="3"/>
      <c r="M56" s="3"/>
    </row>
    <row r="57" spans="10:13" ht="20.25" customHeight="1" x14ac:dyDescent="0.2">
      <c r="J57" s="3"/>
      <c r="M57" s="3"/>
    </row>
    <row r="58" spans="10:13" ht="20.25" customHeight="1" x14ac:dyDescent="0.2">
      <c r="J58" s="3"/>
      <c r="M58" s="3"/>
    </row>
    <row r="59" spans="10:13" x14ac:dyDescent="0.2">
      <c r="J59" s="3"/>
    </row>
    <row r="60" spans="10:13" x14ac:dyDescent="0.2">
      <c r="J60" s="3"/>
    </row>
    <row r="61" spans="10:13" x14ac:dyDescent="0.2">
      <c r="J61" s="3"/>
    </row>
    <row r="62" spans="10:13" x14ac:dyDescent="0.2">
      <c r="J62" s="3"/>
    </row>
    <row r="63" spans="10:13" x14ac:dyDescent="0.2">
      <c r="J63" s="3"/>
    </row>
    <row r="64" spans="10:13" x14ac:dyDescent="0.2">
      <c r="J64" s="3"/>
    </row>
    <row r="65" spans="10:10" x14ac:dyDescent="0.2">
      <c r="J65" s="3"/>
    </row>
    <row r="66" spans="10:10" x14ac:dyDescent="0.2">
      <c r="J66" s="3"/>
    </row>
    <row r="67" spans="10:10" x14ac:dyDescent="0.2">
      <c r="J67" s="3"/>
    </row>
  </sheetData>
  <mergeCells count="1">
    <mergeCell ref="A3:Q3"/>
  </mergeCell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49370-F146-4E8C-A7E4-2270BFE8CAEA}">
  <sheetPr codeName="Planilha14"/>
  <dimension ref="A1:Q18"/>
  <sheetViews>
    <sheetView showGridLines="0" workbookViewId="0">
      <selection activeCell="C6" sqref="C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4.85546875" style="1" bestFit="1" customWidth="1"/>
    <col min="4" max="4" width="12.5703125" style="1" customWidth="1"/>
    <col min="5" max="5" width="14.42578125" style="1" customWidth="1"/>
    <col min="6" max="6" width="12.85546875" style="1" customWidth="1"/>
    <col min="7" max="7" width="11.85546875" style="1" bestFit="1" customWidth="1"/>
    <col min="8" max="8" width="20.7109375" style="1" customWidth="1"/>
    <col min="9" max="9" width="40.7109375" style="1" customWidth="1"/>
    <col min="10" max="10" width="18.140625" style="8" customWidth="1"/>
    <col min="11" max="16384" width="9.140625" style="1"/>
  </cols>
  <sheetData>
    <row r="1" spans="1:17" ht="39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36"/>
      <c r="K1" s="12"/>
      <c r="L1" s="12"/>
      <c r="M1" s="12"/>
    </row>
    <row r="2" spans="1:17" ht="30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37"/>
      <c r="K2" s="13"/>
      <c r="L2" s="13"/>
      <c r="M2" s="13"/>
      <c r="Q2" s="2"/>
    </row>
    <row r="3" spans="1:17" ht="44.25" customHeight="1" x14ac:dyDescent="0.2">
      <c r="A3" s="57" t="s">
        <v>60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</row>
    <row r="4" spans="1:17" ht="15.75" customHeight="1" x14ac:dyDescent="0.2"/>
    <row r="5" spans="1:17" s="7" customFormat="1" ht="32.25" customHeight="1" x14ac:dyDescent="0.25">
      <c r="C5" s="10" t="s">
        <v>15</v>
      </c>
      <c r="D5" s="11" t="s">
        <v>24</v>
      </c>
      <c r="E5" s="11" t="s">
        <v>26</v>
      </c>
      <c r="F5" s="11" t="s">
        <v>22</v>
      </c>
      <c r="G5" s="11" t="s">
        <v>23</v>
      </c>
      <c r="H5" s="35" t="s">
        <v>98</v>
      </c>
      <c r="I5" s="10" t="s">
        <v>44</v>
      </c>
      <c r="J5" s="35" t="s">
        <v>99</v>
      </c>
    </row>
    <row r="6" spans="1:17" s="7" customFormat="1" ht="30" customHeight="1" x14ac:dyDescent="0.25">
      <c r="C6" s="7" t="s">
        <v>0</v>
      </c>
      <c r="D6" s="9">
        <v>44081</v>
      </c>
      <c r="E6" s="9">
        <v>44101</v>
      </c>
      <c r="F6" s="8">
        <v>1</v>
      </c>
      <c r="G6" s="8">
        <v>0</v>
      </c>
      <c r="H6" s="9">
        <v>44080</v>
      </c>
      <c r="I6" s="14"/>
      <c r="J6" s="8">
        <f>SUM(Tabela213[[#This Row],[Data Entrega]]-Tabela213[[#This Row],[Data Início]])</f>
        <v>20</v>
      </c>
    </row>
    <row r="7" spans="1:17" s="7" customFormat="1" ht="30" customHeight="1" x14ac:dyDescent="0.25">
      <c r="C7" s="7" t="s">
        <v>16</v>
      </c>
      <c r="D7" s="9">
        <v>44102</v>
      </c>
      <c r="E7" s="9">
        <v>44121</v>
      </c>
      <c r="F7" s="8">
        <v>2</v>
      </c>
      <c r="G7" s="8"/>
      <c r="H7" s="9">
        <v>44102</v>
      </c>
      <c r="I7" s="15"/>
      <c r="J7" s="8">
        <f>SUM(Tabela213[[#This Row],[Data Entrega]]-Tabela213[[#This Row],[Data Início]])</f>
        <v>19</v>
      </c>
    </row>
    <row r="8" spans="1:17" s="7" customFormat="1" ht="30" customHeight="1" x14ac:dyDescent="0.25">
      <c r="C8" s="7" t="s">
        <v>17</v>
      </c>
      <c r="D8" s="9">
        <v>44123</v>
      </c>
      <c r="E8" s="9">
        <v>44143</v>
      </c>
      <c r="F8" s="8">
        <v>2</v>
      </c>
      <c r="G8" s="8"/>
      <c r="H8" s="9">
        <v>44122</v>
      </c>
      <c r="I8" s="15"/>
      <c r="J8" s="8">
        <f>SUM(Tabela213[[#This Row],[Data Entrega]]-Tabela213[[#This Row],[Data Início]])</f>
        <v>20</v>
      </c>
    </row>
    <row r="9" spans="1:17" s="7" customFormat="1" ht="30" customHeight="1" x14ac:dyDescent="0.25">
      <c r="C9" s="7" t="s">
        <v>18</v>
      </c>
      <c r="D9" s="9">
        <v>44144</v>
      </c>
      <c r="E9" s="9">
        <v>44164</v>
      </c>
      <c r="F9" s="8">
        <v>2</v>
      </c>
      <c r="G9" s="8"/>
      <c r="H9" s="9">
        <v>44144</v>
      </c>
      <c r="I9" s="15"/>
      <c r="J9" s="8">
        <f>SUM(Tabela213[[#This Row],[Data Entrega]]-Tabela213[[#This Row],[Data Início]])</f>
        <v>20</v>
      </c>
    </row>
    <row r="10" spans="1:17" s="7" customFormat="1" ht="30" customHeight="1" x14ac:dyDescent="0.25">
      <c r="C10" s="7" t="s">
        <v>19</v>
      </c>
      <c r="D10" s="9">
        <v>44165</v>
      </c>
      <c r="E10" s="9">
        <v>44171</v>
      </c>
      <c r="F10" s="8"/>
      <c r="G10" s="8"/>
      <c r="H10" s="9">
        <v>44165</v>
      </c>
      <c r="I10" s="15"/>
      <c r="J10" s="8">
        <f>SUM(Tabela213[[#This Row],[Data Entrega]]-Tabela213[[#This Row],[Data Início]])</f>
        <v>6</v>
      </c>
    </row>
    <row r="11" spans="1:17" s="7" customFormat="1" ht="30" customHeight="1" x14ac:dyDescent="0.25">
      <c r="C11" s="7" t="s">
        <v>20</v>
      </c>
      <c r="D11" s="9">
        <v>44165</v>
      </c>
      <c r="E11" s="9">
        <v>44171</v>
      </c>
      <c r="F11" s="8">
        <v>3</v>
      </c>
      <c r="G11" s="8"/>
      <c r="H11" s="9">
        <v>44165</v>
      </c>
      <c r="I11" s="15"/>
      <c r="J11" s="8">
        <f>SUM(Tabela213[[#This Row],[Data Entrega]]-Tabela213[[#This Row],[Data Início]])</f>
        <v>6</v>
      </c>
    </row>
    <row r="12" spans="1:17" s="7" customFormat="1" ht="30" customHeight="1" x14ac:dyDescent="0.25">
      <c r="C12" s="7" t="s">
        <v>21</v>
      </c>
      <c r="D12" s="9">
        <v>44172</v>
      </c>
      <c r="E12" s="9">
        <v>44178</v>
      </c>
      <c r="F12" s="8"/>
      <c r="G12" s="8"/>
      <c r="H12" s="9">
        <v>44172</v>
      </c>
      <c r="I12" s="15"/>
      <c r="J12" s="8">
        <f>SUM(Tabela213[[#This Row],[Data Entrega]]-Tabela213[[#This Row],[Data Início]])</f>
        <v>6</v>
      </c>
    </row>
    <row r="15" spans="1:17" x14ac:dyDescent="0.2">
      <c r="C15" s="53"/>
      <c r="D15" s="53"/>
      <c r="E15" s="53"/>
      <c r="F15" s="53"/>
      <c r="G15" s="53"/>
      <c r="H15" s="53"/>
      <c r="I15" s="53"/>
    </row>
    <row r="16" spans="1:17" ht="15" customHeight="1" x14ac:dyDescent="0.2">
      <c r="B16" s="58"/>
      <c r="C16" s="58"/>
      <c r="D16" s="58"/>
      <c r="E16" s="58"/>
      <c r="F16" s="58"/>
      <c r="G16" s="58"/>
      <c r="H16" s="58"/>
      <c r="I16" s="58"/>
      <c r="J16" s="58"/>
    </row>
    <row r="17" spans="2:10" ht="15" customHeight="1" x14ac:dyDescent="0.2">
      <c r="B17" s="58"/>
      <c r="C17" s="58"/>
      <c r="D17" s="58"/>
      <c r="E17" s="58"/>
      <c r="F17" s="58"/>
      <c r="G17" s="58"/>
      <c r="H17" s="58"/>
      <c r="I17" s="58"/>
      <c r="J17" s="58"/>
    </row>
    <row r="18" spans="2:10" ht="14.25" customHeight="1" x14ac:dyDescent="0.2">
      <c r="B18" s="58"/>
      <c r="C18" s="58"/>
      <c r="D18" s="58"/>
      <c r="E18" s="58"/>
      <c r="F18" s="58"/>
      <c r="G18" s="58"/>
      <c r="H18" s="58"/>
      <c r="I18" s="58"/>
      <c r="J18" s="58"/>
    </row>
  </sheetData>
  <mergeCells count="2">
    <mergeCell ref="A3:M3"/>
    <mergeCell ref="B16:J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EQUIPE</vt:lpstr>
      <vt:lpstr>LISTAS</vt:lpstr>
      <vt:lpstr>PLANNING</vt:lpstr>
      <vt:lpstr>DAILY</vt:lpstr>
      <vt:lpstr>BACKLOG</vt:lpstr>
      <vt:lpstr>SPRINT 0</vt:lpstr>
      <vt:lpstr>SPRINT 1</vt:lpstr>
      <vt:lpstr>SPRINT 2</vt:lpstr>
      <vt:lpstr>SPRINT 3</vt:lpstr>
      <vt:lpstr>BURNDOWN 0</vt:lpstr>
      <vt:lpstr>BURNDOWN 1</vt:lpstr>
      <vt:lpstr>BURNDOWN 2</vt:lpstr>
      <vt:lpstr>BURNDOWN 3</vt:lpstr>
      <vt:lpstr>ROI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Patricia Ciliato</cp:lastModifiedBy>
  <cp:lastPrinted>2020-10-17T02:05:39Z</cp:lastPrinted>
  <dcterms:created xsi:type="dcterms:W3CDTF">2020-10-14T00:13:09Z</dcterms:created>
  <dcterms:modified xsi:type="dcterms:W3CDTF">2020-10-17T16:37:10Z</dcterms:modified>
</cp:coreProperties>
</file>